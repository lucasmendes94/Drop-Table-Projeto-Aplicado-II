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585996303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DeProjeto" sheetId="11" r:id="R7b4b129715674f8c"/>
  </x:sheets>
  <x:definedNames>
    <x:definedName name="Início_do_projeto">CronogramaDeProjeto!$E$3</x:definedName>
    <x:definedName name="Semana_de_exibição">CronogramaDeProjeto!$E$4</x:definedName>
    <x:definedName name="hoje" localSheetId="0">TODAY()</x:definedName>
    <x:definedName name="início_da_tarefa" localSheetId="0">CronogramaDeProjeto!$E1</x:definedName>
    <x:definedName name="progresso_da_tarefa" localSheetId="0">CronogramaDeProjeto!$D1</x:definedName>
    <x:definedName name="término_da_tarefa" localSheetId="0">CronogramaDeProjeto!$F1</x:definedName>
  </x:definedNames>
</x:workbook>
</file>

<file path=xl/sharedStrings.xml><?xml version="1.0" encoding="utf-8"?>
<x:sst xmlns:x="http://schemas.openxmlformats.org/spreadsheetml/2006/main">
  <x:si>
    <x:t xml:space="preserve">Mackenzie</x:t>
  </x:si>
  <x:si>
    <x:t xml:space="preserve">Início do projeto:</x:t>
  </x:si>
  <x:si>
    <x:t xml:space="preserve">Semana de exibição:</x:t>
  </x:si>
  <x:si>
    <x:t xml:space="preserve">TAREFA</x:t>
  </x:si>
  <x:si>
    <x:t xml:space="preserve">ATRIBUÍDO
PARA</x:t>
  </x:si>
  <x:si>
    <x:t xml:space="preserve">PROGRESSO</x:t>
  </x:si>
  <x:si>
    <x:t xml:space="preserve">INÍCIO</x:t>
  </x:si>
  <x:si>
    <x:t xml:space="preserve">TÉRMINO</x:t>
  </x:si>
  <x:si>
    <x:t xml:space="preserve">DIAS</x:t>
  </x:si>
  <x:si>
    <x:t xml:space="preserve">Etapa 1</x:t>
  </x:si>
  <x:si>
    <x:t xml:space="preserve">Definição do grupo de trabalho</x:t>
  </x:si>
  <x:si>
    <x:t xml:space="preserve">Geral</x:t>
  </x:si>
  <x:si>
    <x:t xml:space="preserve">Buscar dataset</x:t>
  </x:si>
  <x:si>
    <x:t xml:space="preserve">Igor</x:t>
  </x:si>
  <x:si>
    <x:t xml:space="preserve">Detalhamento da organização</x:t>
  </x:si>
  <x:si>
    <x:t xml:space="preserve">Igor/Lucas</x:t>
  </x:si>
  <x:si>
    <x:t xml:space="preserve">Detalhamento da área de atuação</x:t>
  </x:si>
  <x:si>
    <x:t xml:space="preserve">Igor/Kayo</x:t>
  </x:si>
  <x:si>
    <x:t xml:space="preserve">Apresentação (metadados)</x:t>
  </x:si>
  <x:si>
    <x:t xml:space="preserve">Igor/Jaqueline</x:t>
  </x:si>
  <x:si>
    <x:t xml:space="preserve">Criar cronograma do projeto</x:t>
  </x:si>
  <x:si>
    <x:t xml:space="preserve">Jaqueline</x:t>
  </x:si>
  <x:si>
    <x:t xml:space="preserve">Criar diretório no GitHub</x:t>
  </x:si>
  <x:si>
    <x:t xml:space="preserve">Lucas</x:t>
  </x:si>
  <x:si>
    <x:t xml:space="preserve">Entregável Etapa 1</x:t>
  </x:si>
  <x:si>
    <x:t xml:space="preserve">Kayo</x:t>
  </x:si>
  <x:si>
    <x:t xml:space="preserve">Etapa 2</x:t>
  </x:si>
  <x:si>
    <x:t xml:space="preserve">Entregável Etapa 2</x:t>
  </x:si>
  <x:si>
    <x:t xml:space="preserve">-</x:t>
  </x:si>
  <x:si>
    <x:t xml:space="preserve">Etapa 3</x:t>
  </x:si>
  <x:si>
    <x:t xml:space="preserve">Consolidação do método analítico</x:t>
  </x:si>
  <x:si>
    <x:t xml:space="preserve">Aplicação das medidas de acurácia</x:t>
  </x:si>
  <x:si>
    <x:t xml:space="preserve">Descrição dos resultados preliminares</x:t>
  </x:si>
  <x:si>
    <x:t xml:space="preserve">Esboço do Storytelling</x:t>
  </x:si>
  <x:si>
    <x:t xml:space="preserve">Entregar PDF Etapa 3</x:t>
  </x:si>
  <x:si>
    <x:t xml:space="preserve">Etapa 4</x:t>
  </x:si>
  <x:si>
    <x:t xml:space="preserve">Relatório técnico do projeto</x:t>
  </x:si>
  <x:si>
    <x:t xml:space="preserve">Apresentação do Storytelling</x:t>
  </x:si>
  <x:si>
    <x:t xml:space="preserve">Edição e publicação do vídeo</x:t>
  </x:si>
  <x:si>
    <x:t xml:space="preserve">Revisão do repositório no GitHub</x:t>
  </x:si>
  <x:si>
    <x:t xml:space="preserve">Entregável Etapa 4</x:t>
  </x:si>
  <x:si>
    <x:t xml:space="preserve">Insira novas linhas ACIMA desta</x:t>
  </x:si>
</x:sst>
</file>

<file path=xl/styles.xml><?xml version="1.0" encoding="utf-8"?>
<x:styleSheet xmlns:x="http://schemas.openxmlformats.org/spreadsheetml/2006/main">
  <x:numFmts count="8">
    <x:numFmt numFmtId="42" formatCode="_-&quot;R$&quot;\ * #,##0_-;\-&quot;R$&quot;\ * #,##0_-;_-&quot;R$&quot;\ * &quot;-&quot;_-;_-@_-"/>
    <x:numFmt numFmtId="44" formatCode="_-&quot;R$&quot;\ * #,##0.00_-;\-&quot;R$&quot;\ * #,##0.00_-;_-&quot;R$&quot;\ * &quot;-&quot;??_-;_-@_-"/>
    <x:numFmt numFmtId="164" formatCode="_(* #,##0_);_(* \(#,##0\);_(* &quot;-&quot;_);_(@_)"/>
    <x:numFmt numFmtId="165" formatCode="_(* #,##0.00_);_(* \(#,##0.00\);_(* &quot;-&quot;??_);_(@_)"/>
    <x:numFmt numFmtId="166" formatCode="d/m/yy;@"/>
    <x:numFmt numFmtId="167" formatCode="ddd\,\ dd/mm/yyyy"/>
    <x:numFmt numFmtId="168" formatCode="d\-mmm\-yyyy"/>
    <x:numFmt numFmtId="169" formatCode="d"/>
  </x:numFmts>
  <x:fonts count="32">
    <x:font>
      <x:sz val="11"/>
      <x:color theme="1"/>
      <x:name val="Calibri"/>
    </x:font>
    <x:font>
      <x:sz val="11"/>
      <x:color indexed="12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4"/>
      <x:color theme="1"/>
      <x:name val="Calibri"/>
    </x:font>
    <x:font>
      <x:b/>
      <x:sz val="22"/>
      <x:color theme="1" tint="0.34999"/>
      <x:name val="Calibri"/>
    </x:font>
    <x:font>
      <x:sz val="11"/>
      <x:color theme="0"/>
      <x:name val="Calibri"/>
    </x:font>
    <x:font>
      <x:sz val="11"/>
      <x:color theme="11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4"/>
      <x:color theme="0"/>
      <x:name val="Calibri"/>
    </x:font>
    <x:font>
      <x:sz val="14"/>
      <x:color theme="0"/>
      <x:name val="Calibri"/>
    </x:font>
    <x:font>
      <x:b/>
      <x:sz val="14"/>
      <x:color theme="1" tint="0.34999"/>
      <x:name val="Calibri"/>
    </x:font>
    <x:font>
      <x:b/>
      <x:sz val="14"/>
      <x:color theme="4" tint="-0.24998"/>
      <x:name val="Calibri"/>
    </x:font>
    <x:font>
      <x:sz val="14"/>
      <x:name val="Calibri"/>
    </x:font>
    <x:font>
      <x:b/>
      <x:sz val="14"/>
      <x:name val="Calibri"/>
    </x:font>
    <x:font>
      <x:sz val="14"/>
      <x:name val="Arial"/>
    </x:font>
    <x:font>
      <x:b/>
      <x:sz val="14"/>
      <x:color theme="1"/>
      <x:name val="Calibri"/>
    </x:font>
    <x:font>
      <x:i/>
      <x:sz val="14"/>
      <x:color theme="1"/>
      <x:name val="Calibri"/>
    </x:font>
    <x:font>
      <x:sz val="14"/>
      <x:color theme="1" tint="0.49998"/>
      <x:name val="Calibri"/>
    </x:font>
    <x:font>
      <x:b/>
      <x:sz val="14"/>
      <x:color theme="1" tint="0.49998"/>
      <x:name val="Calibri"/>
    </x:font>
    <x:font>
      <x:sz val="14"/>
      <x:color theme="1" tint="0.49998"/>
      <x:name val="Arial"/>
    </x:font>
    <x:font>
      <x:sz val="14"/>
      <x:color rgb="FFFF0000"/>
      <x:name val="Calibri"/>
    </x:font>
  </x:fonts>
  <x:fills count="46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theme="7" tint="0.59999"/>
      </x:patternFill>
    </x:fill>
    <x:fill>
      <x:patternFill patternType="solid">
        <x:fgColor theme="6" tint="0.59999"/>
      </x:patternFill>
    </x:fill>
    <x:fill>
      <x:patternFill patternType="solid">
        <x:fgColor theme="0" tint="-0.15"/>
      </x:patternFill>
    </x:fill>
    <x:fill>
      <x:patternFill patternType="solid">
        <x:fgColor theme="4" tint="0.59999"/>
      </x:patternFill>
    </x:fill>
    <x:fill>
      <x:patternFill patternType="solid">
        <x:fgColor theme="5" tint="0.59999"/>
      </x:patternFill>
    </x:fill>
    <x:fill>
      <x:patternFill patternType="solid">
        <x:fgColor theme="7" tint="0.79998"/>
      </x:patternFill>
    </x:fill>
    <x:fill>
      <x:patternFill patternType="solid">
        <x:fgColor theme="6" tint="0.79998"/>
      </x:patternFill>
    </x:fill>
    <x:fill>
      <x:patternFill patternType="solid">
        <x:fgColor theme="1" tint="0.34999"/>
      </x:patternFill>
    </x:fill>
    <x:fill>
      <x:patternFill patternType="solid">
        <x:fgColor theme="1" tint="0.34999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0000"/>
      </x:patternFill>
    </x:fill>
  </x:fills>
  <x:borders count="17">
    <x:border/>
    <x:border>
      <x:top style="thin">
        <x:color theme="0" tint="-0.34999"/>
      </x:top>
    </x:border>
    <x:border>
      <x:top style="medium">
        <x:color theme="0" tint="-0.14997"/>
      </x:top>
      <x:bottom style="medium">
        <x:color theme="0" tint="-0.14997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top style="thin">
        <x:color theme="0" tint="-0.34999"/>
      </x:top>
    </x:border>
    <x:border>
      <x:right style="thin">
        <x:color theme="0" tint="-0.34999"/>
      </x:right>
      <x:top style="thin">
        <x:color theme="0" tint="-0.34999"/>
      </x:top>
    </x:border>
    <x:border>
      <x:left style="thin">
        <x:color theme="0" tint="-0.34999"/>
      </x:left>
    </x:border>
    <x:border>
      <x:right style="thin">
        <x:color theme="0" tint="-0.34999"/>
      </x:right>
    </x:border>
    <x:border>
      <x:left style="thin">
        <x:color theme="0" tint="-0.34999"/>
      </x:left>
      <x:right style="thin">
        <x:color theme="0" tint="-0.34999"/>
      </x:right>
      <x:bottom style="medium">
        <x:color theme="0" tint="-0.14997"/>
      </x:bottom>
    </x:border>
    <x:border>
      <x:left style="thin">
        <x:color theme="0" tint="-0.14994"/>
      </x:left>
      <x:right style="thin">
        <x:color theme="0" tint="-0.14994"/>
      </x:right>
      <x:top style="medium">
        <x:color theme="0" tint="-0.14997"/>
      </x:top>
      <x:bottom style="medium">
        <x:color theme="0" tint="-0.14997"/>
      </x:bottom>
    </x:border>
    <x:border>
      <x:bottom style="thin">
        <x:color theme="0" tint="-0.3499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54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9" fontId="3" fillId="0" borderId="0" applyFont="0" applyFill="0" applyBorder="0" applyAlignment="0" applyProtection="0"/>
    <x:xf numFmtId="0" fontId="6" fillId="0" borderId="0"/>
    <x:xf numFmtId="165" fontId="3" fillId="0" borderId="3" applyFont="0" applyFill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Alignment="0" applyProtection="0"/>
    <x:xf numFmtId="0" fontId="4" fillId="0" borderId="0" applyNumberFormat="0" applyFill="0" applyProtection="0">
      <x:alignment vertical="top"/>
    </x:xf>
    <x:xf numFmtId="0" fontId="3" fillId="0" borderId="0" applyNumberFormat="0" applyFill="0" applyProtection="0">
      <x:alignment horizontal="right"/>
    </x:xf>
    <x:xf numFmtId="167" fontId="3" fillId="0" borderId="3">
      <x:alignment horizontal="center" vertical="center"/>
    </x:xf>
    <x:xf numFmtId="166" fontId="3" fillId="0" borderId="2" applyFill="0">
      <x:alignment horizontal="center" vertical="center"/>
    </x:xf>
    <x:xf numFmtId="0" fontId="3" fillId="0" borderId="2" applyFill="0">
      <x:alignment horizontal="center" vertical="center"/>
    </x:xf>
    <x:xf numFmtId="0" fontId="3" fillId="0" borderId="2" applyFill="0">
      <x:alignment horizontal="left" vertical="center"/>
    </x:xf>
    <x:xf numFmtId="0" fontId="7" fillId="0" borderId="0" applyNumberFormat="0" applyFill="0" applyBorder="0" applyAlignment="0" applyProtection="0"/>
    <x:xf numFmtId="16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2" fontId="3" fillId="0" borderId="0" applyFont="0" applyFill="0" applyBorder="0" applyAlignment="0" applyProtection="0"/>
    <x:xf numFmtId="0" fontId="8" fillId="0" borderId="0" applyNumberFormat="0" applyFill="0" applyBorder="0" applyAlignment="0" applyProtection="0"/>
    <x:xf numFmtId="0" fontId="9" fillId="14" borderId="0" applyNumberFormat="0" applyBorder="0" applyAlignment="0" applyProtection="0"/>
    <x:xf numFmtId="0" fontId="10" fillId="15" borderId="0" applyNumberFormat="0" applyBorder="0" applyAlignment="0" applyProtection="0"/>
    <x:xf numFmtId="0" fontId="11" fillId="16" borderId="0" applyNumberFormat="0" applyBorder="0" applyAlignment="0" applyProtection="0"/>
    <x:xf numFmtId="0" fontId="12" fillId="17" borderId="11" applyNumberFormat="0" applyAlignment="0" applyProtection="0"/>
    <x:xf numFmtId="0" fontId="13" fillId="18" borderId="12" applyNumberFormat="0" applyAlignment="0" applyProtection="0"/>
    <x:xf numFmtId="0" fontId="14" fillId="18" borderId="11" applyNumberFormat="0" applyAlignment="0" applyProtection="0"/>
    <x:xf numFmtId="0" fontId="15" fillId="0" borderId="13" applyNumberFormat="0" applyFill="0" applyAlignment="0" applyProtection="0"/>
    <x:xf numFmtId="0" fontId="16" fillId="19" borderId="14" applyNumberFormat="0" applyAlignment="0" applyProtection="0"/>
    <x:xf numFmtId="0" fontId="17" fillId="0" borderId="0" applyNumberFormat="0" applyFill="0" applyBorder="0" applyAlignment="0" applyProtection="0"/>
    <x:xf numFmtId="0" fontId="3" fillId="20" borderId="15" applyNumberFormat="0" applyFont="0" applyAlignment="0" applyProtection="0"/>
    <x:xf numFmtId="0" fontId="18" fillId="0" borderId="0" applyNumberFormat="0" applyFill="0" applyBorder="0" applyAlignment="0" applyProtection="0"/>
    <x:xf numFmtId="0" fontId="2" fillId="0" borderId="16" applyNumberFormat="0" applyFill="0" applyAlignment="0" applyProtection="0"/>
    <x:xf numFmtId="0" fontId="6" fillId="21" borderId="0" applyNumberFormat="0" applyBorder="0" applyAlignment="0" applyProtection="0"/>
    <x:xf numFmtId="0" fontId="3" fillId="22" borderId="0" applyNumberFormat="0" applyBorder="0" applyAlignment="0" applyProtection="0"/>
    <x:xf numFmtId="0" fontId="3" fillId="23" borderId="0" applyNumberFormat="0" applyBorder="0" applyAlignment="0" applyProtection="0"/>
    <x:xf numFmtId="0" fontId="3" fillId="24" borderId="0" applyNumberFormat="0" applyBorder="0" applyAlignment="0" applyProtection="0"/>
    <x:xf numFmtId="0" fontId="6" fillId="25" borderId="0" applyNumberFormat="0" applyBorder="0" applyAlignment="0" applyProtection="0"/>
    <x:xf numFmtId="0" fontId="3" fillId="26" borderId="0" applyNumberFormat="0" applyBorder="0" applyAlignment="0" applyProtection="0"/>
    <x:xf numFmtId="0" fontId="3" fillId="27" borderId="0" applyNumberFormat="0" applyBorder="0" applyAlignment="0" applyProtection="0"/>
    <x:xf numFmtId="0" fontId="3" fillId="28" borderId="0" applyNumberFormat="0" applyBorder="0" applyAlignment="0" applyProtection="0"/>
    <x:xf numFmtId="0" fontId="6" fillId="29" borderId="0" applyNumberFormat="0" applyBorder="0" applyAlignment="0" applyProtection="0"/>
    <x:xf numFmtId="0" fontId="3" fillId="30" borderId="0" applyNumberFormat="0" applyBorder="0" applyAlignment="0" applyProtection="0"/>
    <x:xf numFmtId="0" fontId="3" fillId="31" borderId="0" applyNumberFormat="0" applyBorder="0" applyAlignment="0" applyProtection="0"/>
    <x:xf numFmtId="0" fontId="3" fillId="32" borderId="0" applyNumberFormat="0" applyBorder="0" applyAlignment="0" applyProtection="0"/>
    <x:xf numFmtId="0" fontId="6" fillId="33" borderId="0" applyNumberFormat="0" applyBorder="0" applyAlignment="0" applyProtection="0"/>
    <x:xf numFmtId="0" fontId="3" fillId="34" borderId="0" applyNumberFormat="0" applyBorder="0" applyAlignment="0" applyProtection="0"/>
    <x:xf numFmtId="0" fontId="3" fillId="35" borderId="0" applyNumberFormat="0" applyBorder="0" applyAlignment="0" applyProtection="0"/>
    <x:xf numFmtId="0" fontId="3" fillId="36" borderId="0" applyNumberFormat="0" applyBorder="0" applyAlignment="0" applyProtection="0"/>
    <x:xf numFmtId="0" fontId="6" fillId="37" borderId="0" applyNumberFormat="0" applyBorder="0" applyAlignment="0" applyProtection="0"/>
    <x:xf numFmtId="0" fontId="3" fillId="38" borderId="0" applyNumberFormat="0" applyBorder="0" applyAlignment="0" applyProtection="0"/>
    <x:xf numFmtId="0" fontId="3" fillId="39" borderId="0" applyNumberFormat="0" applyBorder="0" applyAlignment="0" applyProtection="0"/>
    <x:xf numFmtId="0" fontId="3" fillId="40" borderId="0" applyNumberFormat="0" applyBorder="0" applyAlignment="0" applyProtection="0"/>
    <x:xf numFmtId="0" fontId="6" fillId="41" borderId="0" applyNumberFormat="0" applyBorder="0" applyAlignment="0" applyProtection="0"/>
    <x:xf numFmtId="0" fontId="3" fillId="42" borderId="0" applyNumberFormat="0" applyBorder="0" applyAlignment="0" applyProtection="0"/>
    <x:xf numFmtId="0" fontId="3" fillId="43" borderId="0" applyNumberFormat="0" applyBorder="0" applyAlignment="0" applyProtection="0"/>
    <x:xf numFmtId="0" fontId="3" fillId="44" borderId="0" applyNumberFormat="0" applyBorder="0" applyAlignment="0" applyProtection="0"/>
  </x:cellStyleXfs>
  <x:cellXfs count="86">
    <x:xf numFmtId="0" fontId="0" fillId="0" borderId="0" xfId="0"/>
    <x:xf numFmtId="0" fontId="19" fillId="45" borderId="0" xfId="6" applyFont="1" applyFill="1" applyAlignment="1">
      <x:alignment horizontal="center" vertical="center" wrapText="1"/>
    </x:xf>
    <x:xf numFmtId="0" fontId="21" fillId="0" borderId="0" xfId="5" applyFont="1" applyAlignment="1">
      <x:alignment horizontal="left" wrapText="1"/>
    </x:xf>
    <x:xf numFmtId="0" fontId="22" fillId="0" borderId="0" xfId="0" applyFont="1" applyAlignment="1">
      <x:alignment horizontal="left"/>
    </x:xf>
    <x:xf numFmtId="0" fontId="23" fillId="0" borderId="0" xfId="0" applyFont="1"/>
    <x:xf numFmtId="0" fontId="23" fillId="0" borderId="0" xfId="0" applyFont="1" applyAlignment="1">
      <x:alignment horizontal="center"/>
    </x:xf>
    <x:xf numFmtId="0" fontId="23" fillId="0" borderId="0" xfId="0" applyFont="1" applyAlignment="1">
      <x:alignment horizontal="center" vertical="center"/>
    </x:xf>
    <x:xf numFmtId="0" fontId="4" fillId="0" borderId="0" xfId="0" applyFont="1"/>
    <x:xf numFmtId="0" fontId="24" fillId="0" borderId="0" xfId="0" applyFont="1"/>
    <x:xf numFmtId="0" fontId="20" fillId="0" borderId="0" xfId="3" applyFont="1"/>
    <x:xf numFmtId="0" fontId="4" fillId="0" borderId="0" xfId="0" applyFont="1" applyAlignment="1">
      <x:alignment horizontal="center"/>
    </x:xf>
    <x:xf numFmtId="0" fontId="25" fillId="0" borderId="0" xfId="1" applyFont="1">
      <x:alignment vertical="top"/>
    </x:xf>
    <x:xf numFmtId="0" fontId="26" fillId="0" borderId="0" xfId="7" applyFont="1" applyAlignment="1">
      <x:alignment vertical="top" wrapText="1"/>
    </x:xf>
    <x:xf numFmtId="0" fontId="4" fillId="0" borderId="0" xfId="8" applyFont="1">
      <x:alignment horizontal="right"/>
    </x:xf>
    <x:xf numFmtId="0" fontId="4" fillId="0" borderId="7" xfId="8" applyFont="1" applyBorder="1">
      <x:alignment horizontal="right"/>
    </x:xf>
    <x:xf numFmtId="167" fontId="4" fillId="0" borderId="3" xfId="9" applyFont="1">
      <x:alignment horizontal="center" vertical="center"/>
    </x:xf>
    <x:xf numFmtId="0" fontId="4" fillId="0" borderId="0" xfId="0" applyFont="1" applyAlignment="1">
      <x:alignment wrapText="1"/>
    </x:xf>
    <x:xf numFmtId="0" fontId="4" fillId="0" borderId="3" xfId="0" applyFont="1" applyBorder="1" applyAlignment="1">
      <x:alignment horizontal="center" vertical="center"/>
    </x:xf>
    <x:xf numFmtId="168" fontId="4" fillId="7" borderId="4" xfId="0" applyNumberFormat="1" applyFont="1" applyFill="1" applyBorder="1" applyAlignment="1">
      <x:alignment horizontal="left" vertical="center" wrapText="1"/>
    </x:xf>
    <x:xf numFmtId="168" fontId="4" fillId="7" borderId="1" xfId="0" applyNumberFormat="1" applyFont="1" applyFill="1" applyBorder="1" applyAlignment="1">
      <x:alignment horizontal="left" vertical="center" wrapText="1"/>
    </x:xf>
    <x:xf numFmtId="168" fontId="4" fillId="7" borderId="5" xfId="0" applyNumberFormat="1" applyFont="1" applyFill="1" applyBorder="1" applyAlignment="1">
      <x:alignment horizontal="left" vertical="center" wrapText="1"/>
    </x:xf>
    <x:xf numFmtId="0" fontId="4" fillId="0" borderId="10" xfId="0" applyFont="1" applyBorder="1" applyAlignment="1">
      <x:alignment wrapText="1"/>
    </x:xf>
    <x:xf numFmtId="0" fontId="4" fillId="0" borderId="10" xfId="0" applyFont="1" applyBorder="1"/>
    <x:xf numFmtId="169" fontId="23" fillId="7" borderId="6" xfId="0" applyNumberFormat="1" applyFont="1" applyFill="1" applyBorder="1" applyAlignment="1">
      <x:alignment horizontal="center" vertical="center"/>
    </x:xf>
    <x:xf numFmtId="169" fontId="23" fillId="7" borderId="0" xfId="0" applyNumberFormat="1" applyFont="1" applyFill="1" applyAlignment="1">
      <x:alignment horizontal="center" vertical="center"/>
    </x:xf>
    <x:xf numFmtId="169" fontId="23" fillId="7" borderId="7" xfId="0" applyNumberFormat="1" applyFont="1" applyFill="1" applyBorder="1" applyAlignment="1">
      <x:alignment horizontal="center" vertical="center"/>
    </x:xf>
    <x:xf numFmtId="0" fontId="19" fillId="13" borderId="1" xfId="0" applyFont="1" applyFill="1" applyBorder="1" applyAlignment="1">
      <x:alignment horizontal="left" vertical="center" wrapText="1"/>
    </x:xf>
    <x:xf numFmtId="0" fontId="19" fillId="13" borderId="1" xfId="0" applyFont="1" applyFill="1" applyBorder="1" applyAlignment="1">
      <x:alignment horizontal="center" vertical="center" wrapText="1"/>
    </x:xf>
    <x:xf numFmtId="0" fontId="20" fillId="12" borderId="8" xfId="0" applyFont="1" applyFill="1" applyBorder="1" applyAlignment="1">
      <x:alignment horizontal="center" vertical="center"/>
    </x:xf>
    <x:xf numFmtId="0" fontId="4" fillId="0" borderId="9" xfId="0" applyFont="1" applyBorder="1" applyAlignment="1">
      <x:alignment vertical="center"/>
    </x:xf>
    <x:xf numFmtId="0" fontId="26" fillId="8" borderId="2" xfId="0" applyFont="1" applyFill="1" applyBorder="1" applyAlignment="1">
      <x:alignment horizontal="left" vertical="center" wrapText="1"/>
    </x:xf>
    <x:xf numFmtId="0" fontId="4" fillId="8" borderId="2" xfId="11" applyFont="1" applyFill="1">
      <x:alignment horizontal="center" vertical="center"/>
    </x:xf>
    <x:xf numFmtId="9" fontId="23" fillId="8" borderId="2" xfId="2" applyFont="1" applyFill="1" applyBorder="1" applyAlignment="1">
      <x:alignment horizontal="center" vertical="center"/>
    </x:xf>
    <x:xf numFmtId="166" fontId="4" fillId="8" borderId="2" xfId="0" applyNumberFormat="1" applyFont="1" applyFill="1" applyBorder="1" applyAlignment="1">
      <x:alignment horizontal="center" vertical="center"/>
    </x:xf>
    <x:xf numFmtId="166" fontId="23" fillId="8" borderId="2" xfId="0" applyNumberFormat="1" applyFont="1" applyFill="1" applyBorder="1" applyAlignment="1">
      <x:alignment horizontal="center" vertical="center"/>
    </x:xf>
    <x:xf numFmtId="0" fontId="23" fillId="0" borderId="2" xfId="0" applyFont="1" applyBorder="1" applyAlignment="1">
      <x:alignment horizontal="center" vertical="center"/>
    </x:xf>
    <x:xf numFmtId="0" fontId="4" fillId="0" borderId="0" xfId="0" applyFont="1" applyAlignment="1">
      <x:alignment vertical="center"/>
    </x:xf>
    <x:xf numFmtId="0" fontId="4" fillId="3" borderId="2" xfId="12" applyFont="1" applyFill="1" applyAlignment="1">
      <x:alignment horizontal="left" vertical="center" wrapText="1"/>
    </x:xf>
    <x:xf numFmtId="0" fontId="4" fillId="3" borderId="2" xfId="11" applyFont="1" applyFill="1">
      <x:alignment horizontal="center" vertical="center"/>
    </x:xf>
    <x:xf numFmtId="9" fontId="23" fillId="3" borderId="2" xfId="2" applyFont="1" applyFill="1" applyBorder="1" applyAlignment="1">
      <x:alignment horizontal="center" vertical="center"/>
    </x:xf>
    <x:xf numFmtId="166" fontId="4" fillId="3" borderId="2" xfId="10" applyFont="1" applyFill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26" fillId="9" borderId="2" xfId="0" applyFont="1" applyFill="1" applyBorder="1" applyAlignment="1">
      <x:alignment horizontal="left" vertical="center" wrapText="1"/>
    </x:xf>
    <x:xf numFmtId="0" fontId="4" fillId="9" borderId="2" xfId="11" applyFont="1" applyFill="1">
      <x:alignment horizontal="center" vertical="center"/>
    </x:xf>
    <x:xf numFmtId="9" fontId="23" fillId="9" borderId="2" xfId="2" applyFont="1" applyFill="1" applyBorder="1" applyAlignment="1">
      <x:alignment horizontal="center" vertical="center"/>
    </x:xf>
    <x:xf numFmtId="166" fontId="4" fillId="9" borderId="2" xfId="0" applyNumberFormat="1" applyFont="1" applyFill="1" applyBorder="1" applyAlignment="1">
      <x:alignment horizontal="center" vertical="center"/>
    </x:xf>
    <x:xf numFmtId="166" fontId="23" fillId="9" borderId="2" xfId="0" applyNumberFormat="1" applyFont="1" applyFill="1" applyBorder="1" applyAlignment="1">
      <x:alignment horizontal="center" vertical="center"/>
    </x:xf>
    <x:xf numFmtId="0" fontId="4" fillId="4" borderId="2" xfId="12" applyFont="1" applyFill="1" applyAlignment="1">
      <x:alignment horizontal="left" vertical="center" wrapText="1"/>
    </x:xf>
    <x:xf numFmtId="0" fontId="4" fillId="4" borderId="2" xfId="11" applyFont="1" applyFill="1">
      <x:alignment horizontal="center" vertical="center"/>
    </x:xf>
    <x:xf numFmtId="9" fontId="23" fillId="4" borderId="2" xfId="2" applyFont="1" applyFill="1" applyBorder="1" applyAlignment="1">
      <x:alignment horizontal="center" vertical="center"/>
    </x:xf>
    <x:xf numFmtId="166" fontId="4" fillId="4" borderId="2" xfId="10" applyFont="1" applyFill="1">
      <x:alignment horizontal="center" vertical="center"/>
    </x:xf>
    <x:xf numFmtId="0" fontId="26" fillId="6" borderId="2" xfId="0" applyFont="1" applyFill="1" applyBorder="1" applyAlignment="1">
      <x:alignment horizontal="left" vertical="center" wrapText="1"/>
    </x:xf>
    <x:xf numFmtId="0" fontId="4" fillId="6" borderId="2" xfId="11" applyFont="1" applyFill="1">
      <x:alignment horizontal="center" vertical="center"/>
    </x:xf>
    <x:xf numFmtId="9" fontId="23" fillId="6" borderId="2" xfId="2" applyFont="1" applyFill="1" applyBorder="1" applyAlignment="1">
      <x:alignment horizontal="center" vertical="center"/>
    </x:xf>
    <x:xf numFmtId="166" fontId="4" fillId="6" borderId="2" xfId="0" applyNumberFormat="1" applyFont="1" applyFill="1" applyBorder="1" applyAlignment="1">
      <x:alignment horizontal="center" vertical="center"/>
    </x:xf>
    <x:xf numFmtId="166" fontId="23" fillId="6" borderId="2" xfId="0" applyNumberFormat="1" applyFont="1" applyFill="1" applyBorder="1" applyAlignment="1">
      <x:alignment horizontal="center" vertical="center"/>
    </x:xf>
    <x:xf numFmtId="0" fontId="4" fillId="11" borderId="2" xfId="12" applyFont="1" applyFill="1" applyAlignment="1">
      <x:alignment horizontal="left" vertical="center" wrapText="1"/>
    </x:xf>
    <x:xf numFmtId="0" fontId="4" fillId="11" borderId="2" xfId="11" applyFont="1" applyFill="1">
      <x:alignment horizontal="center" vertical="center"/>
    </x:xf>
    <x:xf numFmtId="9" fontId="23" fillId="11" borderId="2" xfId="2" applyFont="1" applyFill="1" applyBorder="1" applyAlignment="1">
      <x:alignment horizontal="center" vertical="center"/>
    </x:xf>
    <x:xf numFmtId="166" fontId="4" fillId="11" borderId="2" xfId="10" applyFont="1" applyFill="1">
      <x:alignment horizontal="center" vertical="center"/>
    </x:xf>
    <x:xf numFmtId="0" fontId="26" fillId="5" borderId="2" xfId="0" applyFont="1" applyFill="1" applyBorder="1" applyAlignment="1">
      <x:alignment horizontal="left" vertical="center" wrapText="1"/>
    </x:xf>
    <x:xf numFmtId="0" fontId="4" fillId="5" borderId="2" xfId="11" applyFont="1" applyFill="1">
      <x:alignment horizontal="center" vertical="center"/>
    </x:xf>
    <x:xf numFmtId="9" fontId="23" fillId="5" borderId="2" xfId="2" applyFont="1" applyFill="1" applyBorder="1" applyAlignment="1">
      <x:alignment horizontal="center" vertical="center"/>
    </x:xf>
    <x:xf numFmtId="166" fontId="4" fillId="5" borderId="2" xfId="0" applyNumberFormat="1" applyFont="1" applyFill="1" applyBorder="1" applyAlignment="1">
      <x:alignment horizontal="center" vertical="center"/>
    </x:xf>
    <x:xf numFmtId="166" fontId="23" fillId="5" borderId="2" xfId="0" applyNumberFormat="1" applyFont="1" applyFill="1" applyBorder="1" applyAlignment="1">
      <x:alignment horizontal="center" vertical="center"/>
    </x:xf>
    <x:xf numFmtId="0" fontId="4" fillId="10" borderId="2" xfId="12" applyFont="1" applyFill="1" applyAlignment="1">
      <x:alignment horizontal="left" vertical="center" wrapText="1"/>
    </x:xf>
    <x:xf numFmtId="0" fontId="4" fillId="10" borderId="2" xfId="11" applyFont="1" applyFill="1">
      <x:alignment horizontal="center" vertical="center"/>
    </x:xf>
    <x:xf numFmtId="9" fontId="23" fillId="10" borderId="2" xfId="2" applyFont="1" applyFill="1" applyBorder="1" applyAlignment="1">
      <x:alignment horizontal="center" vertical="center"/>
    </x:xf>
    <x:xf numFmtId="166" fontId="4" fillId="10" borderId="2" xfId="10" applyFont="1" applyFill="1">
      <x:alignment horizontal="center" vertical="center"/>
    </x:xf>
    <x:xf numFmtId="0" fontId="4" fillId="0" borderId="2" xfId="12" applyFont="1" applyAlignment="1">
      <x:alignment horizontal="left" vertical="center" wrapText="1"/>
    </x:xf>
    <x:xf numFmtId="0" fontId="4" fillId="0" borderId="2" xfId="11" applyFont="1">
      <x:alignment horizontal="center" vertical="center"/>
    </x:xf>
    <x:xf numFmtId="9" fontId="23" fillId="0" borderId="2" xfId="2" applyFont="1" applyBorder="1" applyAlignment="1">
      <x:alignment horizontal="center" vertical="center"/>
    </x:xf>
    <x:xf numFmtId="166" fontId="4" fillId="0" borderId="2" xfId="10" applyFont="1">
      <x:alignment horizontal="center" vertical="center"/>
    </x:xf>
    <x:xf numFmtId="0" fontId="27" fillId="2" borderId="2" xfId="0" applyFont="1" applyFill="1" applyBorder="1" applyAlignment="1">
      <x:alignment horizontal="left" vertical="center" wrapText="1"/>
    </x:xf>
    <x:xf numFmtId="0" fontId="27" fillId="2" borderId="2" xfId="0" applyFont="1" applyFill="1" applyBorder="1" applyAlignment="1">
      <x:alignment horizontal="center" vertical="center"/>
    </x:xf>
    <x:xf numFmtId="9" fontId="23" fillId="2" borderId="2" xfId="2" applyFont="1" applyFill="1" applyBorder="1" applyAlignment="1">
      <x:alignment horizontal="center" vertical="center"/>
    </x:xf>
    <x:xf numFmtId="166" fontId="28" fillId="2" borderId="2" xfId="0" applyNumberFormat="1" applyFont="1" applyFill="1" applyBorder="1" applyAlignment="1">
      <x:alignment horizontal="left" vertical="center"/>
    </x:xf>
    <x:xf numFmtId="166" fontId="23" fillId="2" borderId="2" xfId="0" applyNumberFormat="1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4" fillId="2" borderId="9" xfId="0" applyFont="1" applyFill="1" applyBorder="1" applyAlignment="1">
      <x:alignment vertical="center"/>
    </x:xf>
    <x:xf numFmtId="0" fontId="4" fillId="0" borderId="0" xfId="0" applyFont="1" applyAlignment="1">
      <x:alignment horizontal="right" vertical="center"/>
    </x:xf>
    <x:xf numFmtId="0" fontId="29" fillId="0" borderId="0" xfId="0" applyFont="1"/>
    <x:xf numFmtId="0" fontId="20" fillId="0" borderId="0" xfId="0" applyFont="1" applyAlignment="1">
      <x:alignment horizontal="center"/>
    </x:xf>
    <x:xf numFmtId="0" fontId="30" fillId="0" borderId="0" xfId="1" applyFont="1" applyAlignment="1"/>
    <x:xf numFmtId="0" fontId="31" fillId="0" borderId="0" xfId="3" applyFont="1" applyAlignment="1">
      <x:alignment wrapText="1"/>
    </x:xf>
    <x:xf numFmtId="0" fontId="31" fillId="0" borderId="0" xfId="3" applyFont="1"/>
  </x:cellXfs>
  <x:cellStyles count="54">
    <x:cellStyle name="20% - Cor1" xfId="31"/>
    <x:cellStyle name="20% - Cor2" xfId="35"/>
    <x:cellStyle name="20% - Cor3" xfId="39"/>
    <x:cellStyle name="20% - Cor4" xfId="43"/>
    <x:cellStyle name="20% - Cor5" xfId="47"/>
    <x:cellStyle name="20% - Cor6" xfId="51"/>
    <x:cellStyle name="40% - Cor1" xfId="32"/>
    <x:cellStyle name="40% - Cor2" xfId="36"/>
    <x:cellStyle name="40% - Cor3" xfId="40"/>
    <x:cellStyle name="40% - Cor4" xfId="44"/>
    <x:cellStyle name="40% - Cor5" xfId="48"/>
    <x:cellStyle name="40% - Cor6" xfId="52"/>
    <x:cellStyle name="60% - Cor1" xfId="33"/>
    <x:cellStyle name="60% - Cor2" xfId="37"/>
    <x:cellStyle name="60% - Cor3" xfId="41"/>
    <x:cellStyle name="60% - Cor4" xfId="45"/>
    <x:cellStyle name="60% - Cor5" xfId="49"/>
    <x:cellStyle name="60% - Cor6" xfId="53"/>
    <x:cellStyle name="Cabeçalho 1" xfId="6"/>
    <x:cellStyle name="Cabeçalho 2" xfId="7"/>
    <x:cellStyle name="Cabeçalho 3" xfId="8"/>
    <x:cellStyle name="Cabeçalho 4" xfId="17"/>
    <x:cellStyle name="Cálculo" xfId="23"/>
    <x:cellStyle name="Célula Ligada" xfId="24"/>
    <x:cellStyle name="Cor1" xfId="30"/>
    <x:cellStyle name="Cor2" xfId="34"/>
    <x:cellStyle name="Cor3" xfId="38"/>
    <x:cellStyle name="Cor4" xfId="42"/>
    <x:cellStyle name="Cor5" xfId="46"/>
    <x:cellStyle name="Cor6" xfId="50"/>
    <x:cellStyle name="Correto" xfId="18"/>
    <x:cellStyle name="Data" xfId="10"/>
    <x:cellStyle name="Entrada" xfId="21"/>
    <x:cellStyle name="Hiperligação" xfId="1"/>
    <x:cellStyle name="Hiperligação Visitada" xfId="13"/>
    <x:cellStyle name="Incorreto" xfId="19"/>
    <x:cellStyle name="Início do Projeto" xfId="9"/>
    <x:cellStyle name="Moeda" xfId="15"/>
    <x:cellStyle name="Moeda [0]" xfId="16"/>
    <x:cellStyle name="Neutro" xfId="20"/>
    <x:cellStyle name="Nome" xfId="11"/>
    <x:cellStyle name="Normal" xfId="0"/>
    <x:cellStyle name="Nota" xfId="27"/>
    <x:cellStyle name="Percentagem" xfId="2"/>
    <x:cellStyle name="Saída" xfId="22"/>
    <x:cellStyle name="Separador de milhares [0]" xfId="14"/>
    <x:cellStyle name="Tarefa" xfId="12"/>
    <x:cellStyle name="Texto de Aviso" xfId="26"/>
    <x:cellStyle name="Texto Explicativo" xfId="28"/>
    <x:cellStyle name="Título" xfId="5"/>
    <x:cellStyle name="Total" xfId="29"/>
    <x:cellStyle name="Verificar Célula" xfId="25"/>
    <x:cellStyle name="Vírgula" xfId="4"/>
    <x:cellStyle name="zTextoOculto" xfId="3"/>
  </x:cellStyles>
  <x:dxfs count="12">
    <x:dxf>
      <x:fill>
        <x:patternFill>
          <x:bgColor theme="7"/>
        </x:patternFill>
      </x:fill>
      <x:border>
        <x:left/>
        <x:right/>
      </x:border>
    </x:dxf>
    <x:dxf>
      <x:fill>
        <x:patternFill>
          <x:bgColor theme="0" tint="-0.34999"/>
        </x:patternFill>
      </x:fill>
    </x:dxf>
    <x:dxf>
      <x:border>
        <x:left style="thin">
          <x:color rgb="FFC00000"/>
        </x:left>
        <x:right style="thin">
          <x:color rgb="FFC00000"/>
        </x:right>
      </x:border>
    </x:dxf>
    <x:dxf>
      <x:border>
        <x:left style="thin">
          <x:color theme="0" tint="-0.24995"/>
        </x:left>
      </x:border>
    </x:dxf>
    <x:dxf>
      <x:border>
        <x:left style="thin">
          <x:color theme="0" tint="-0.24995"/>
        </x:left>
      </x:border>
    </x:dxf>
    <x:dxf>
      <x:border>
        <x:top style="thin">
          <x:color theme="4" tint="0.39995"/>
        </x:top>
      </x:border>
    </x:dxf>
    <x:dxf>
      <x:fill>
        <x:patternFill>
          <x:bgColor theme="0" tint="-0.04999"/>
        </x:patternFill>
      </x:fill>
      <x:border>
        <x:top style="thin">
          <x:color theme="4" tint="0.39995"/>
        </x:top>
      </x:border>
    </x:dxf>
    <x:dxf>
      <x:font>
        <x:b/>
        <x:color theme="1"/>
      </x:font>
    </x:dxf>
    <x:dxf>
      <x:font>
        <x:color theme="1"/>
      </x:font>
      <x:border>
        <x:left style="thin">
          <x:color theme="4"/>
        </x:left>
      </x:border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5FF25F"/>
      <x:rgbColor rgb="000000FF"/>
      <x:rgbColor rgb="00FFFF00"/>
      <x:rgbColor rgb="00DE3018"/>
      <x:rgbColor rgb="0053D4C9"/>
      <x:rgbColor rgb="006B0C00"/>
      <x:rgbColor rgb="00006500"/>
      <x:rgbColor rgb="00182C63"/>
      <x:rgbColor rgb="00819C00"/>
      <x:rgbColor rgb="00C9B783"/>
      <x:rgbColor rgb="00007F74"/>
      <x:rgbColor rgb="00F0F0F0"/>
      <x:rgbColor rgb="00666666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799FC4"/>
      <x:rgbColor rgb="00C1F1ED"/>
      <x:rgbColor rgb="00D6F4D9"/>
      <x:rgbColor rgb="00FFFFCC"/>
      <x:rgbColor rgb="00C9DAFB"/>
      <x:rgbColor rgb="00FAC8D7"/>
      <x:rgbColor rgb="00F3F0E4"/>
      <x:rgbColor rgb="00E4E8F3"/>
      <x:rgbColor rgb="001849B5"/>
      <x:rgbColor rgb="0036ACA2"/>
      <x:rgbColor rgb="00F0BA00"/>
      <x:rgbColor rgb="00BCC5E1"/>
      <x:rgbColor rgb="008394C9"/>
      <x:rgbColor rgb="003B4E87"/>
      <x:rgbColor rgb="0087743B"/>
      <x:rgbColor rgb="00C0C0C0"/>
      <x:rgbColor rgb="00003366"/>
      <x:rgbColor rgb="00109618"/>
      <x:rgbColor rgb="00085108"/>
      <x:rgbColor rgb="00635100"/>
      <x:rgbColor rgb="00273359"/>
      <x:rgbColor rgb="00E1D8BC"/>
      <x:rgbColor rgb="00594C27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493b7e2174fc5" /><Relationship Type="http://schemas.openxmlformats.org/officeDocument/2006/relationships/theme" Target="/xl/theme/theme1.xml" Id="Re7bcfb2bf0314da6" /><Relationship Type="http://schemas.openxmlformats.org/officeDocument/2006/relationships/sharedStrings" Target="/xl/sharedStrings.xml" Id="R4c1af5458cbc4301" /><Relationship Type="http://schemas.openxmlformats.org/officeDocument/2006/relationships/worksheet" Target="/xl/worksheets/sheet1.xml" Id="R7b4b129715674f8c" 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30"/>
  <x:cols>
    <x:col min="1" max="1" width="4.42578125" style="9" customWidth="1"/>
    <x:col min="2" max="2" width="55.28515625" style="16" customWidth="1"/>
    <x:col min="3" max="3" width="17.7109375" style="7" customWidth="1"/>
    <x:col min="4" max="4" width="15.28515625" style="7" customWidth="1"/>
    <x:col min="5" max="5" width="12" style="10" customWidth="1"/>
    <x:col min="6" max="6" width="12.28515625" style="7" customWidth="1"/>
    <x:col min="7" max="7" width="2.7109375" style="7" customWidth="1"/>
    <x:col min="8" max="8" width="6.7109375" style="7" customWidth="1"/>
    <x:col min="9" max="30" width="4.28515625" style="7" customWidth="1"/>
    <x:col min="31" max="39" width="2.85546875" style="7" customWidth="1"/>
    <x:col min="40" max="60" width="4.28515625" style="7" customWidth="1"/>
    <x:col min="61" max="69" width="2.85546875" style="7" customWidth="1"/>
    <x:col min="70" max="91" width="4.28515625" style="7" customWidth="1"/>
    <x:col min="92" max="100" width="2.85546875" style="7" customWidth="1"/>
    <x:col min="101" max="113" width="4.28515625" style="7" customWidth="1"/>
    <x:col min="114" max="16384" width="9.140625" style="7" customWidth="0"/>
  </x:cols>
  <x:sheetData>
    <x:row r="1" ht="14.449999809265137" customHeight="1">
      <x:c r="A1" s="84"/>
      <x:c r="B1" s="2"/>
      <x:c r="C1" s="3"/>
      <x:c r="D1" s="4"/>
      <x:c r="E1" s="5"/>
      <x:c r="F1" s="6"/>
      <x:c r="H1" s="4"/>
      <x:c r="I1" s="8"/>
    </x:row>
    <x:row r="2" ht="22.149999618530273" customHeight="1">
      <x:c r="A2" s="85"/>
      <x:c r="B2" s="1" t="s">
        <x:v>0</x:v>
      </x:c>
      <x:c r="I2" s="11"/>
    </x:row>
    <x:row r="3" ht="25.149999618530273" customHeight="1">
      <x:c r="A3" s="85"/>
      <x:c r="B3" s="12"/>
      <x:c r="C3" s="13" t="s">
        <x:v>1</x:v>
      </x:c>
      <x:c r="D3" s="14"/>
      <x:c r="E3" s="15">
        <x:v>46244</x:v>
      </x:c>
      <x:c r="F3" s="15"/>
    </x:row>
    <x:row r="4" ht="17.450000762939453" customHeight="1">
      <x:c r="A4" s="84"/>
      <x:c r="C4" s="13" t="s">
        <x:v>2</x:v>
      </x:c>
      <x:c r="D4" s="14"/>
      <x:c r="E4" s="17">
        <x:v>1</x:v>
      </x:c>
      <x:c r="I4" s="18" t="e">
        <x:f>I5</x:f>
        <x:v>#NAME?</x:v>
      </x:c>
      <x:c r="J4" s="19"/>
      <x:c r="K4" s="19"/>
      <x:c r="L4" s="19"/>
      <x:c r="M4" s="19"/>
      <x:c r="N4" s="19"/>
      <x:c r="O4" s="20"/>
      <x:c r="P4" s="18" t="n">
        <x:f>P5</x:f>
        <x:v>46251</x:v>
      </x:c>
      <x:c r="Q4" s="19"/>
      <x:c r="R4" s="19"/>
      <x:c r="S4" s="19"/>
      <x:c r="T4" s="19"/>
      <x:c r="U4" s="19"/>
      <x:c r="V4" s="20"/>
      <x:c r="W4" s="18" t="n">
        <x:f>W5</x:f>
        <x:v>46258</x:v>
      </x:c>
      <x:c r="X4" s="19"/>
      <x:c r="Y4" s="19"/>
      <x:c r="Z4" s="19"/>
      <x:c r="AA4" s="19"/>
      <x:c r="AB4" s="19"/>
      <x:c r="AC4" s="20"/>
      <x:c r="AD4" s="18" t="n">
        <x:f>AD5</x:f>
        <x:v>46265</x:v>
      </x:c>
      <x:c r="AE4" s="19"/>
      <x:c r="AF4" s="19"/>
      <x:c r="AG4" s="19"/>
      <x:c r="AH4" s="19"/>
      <x:c r="AI4" s="19"/>
      <x:c r="AJ4" s="20"/>
      <x:c r="AK4" s="18" t="n">
        <x:f>AK5</x:f>
        <x:v>46272</x:v>
      </x:c>
      <x:c r="AL4" s="19"/>
      <x:c r="AM4" s="19"/>
      <x:c r="AN4" s="19"/>
      <x:c r="AO4" s="19"/>
      <x:c r="AP4" s="19"/>
      <x:c r="AQ4" s="20"/>
      <x:c r="AR4" s="18" t="n">
        <x:f>AR5</x:f>
        <x:v>46279</x:v>
      </x:c>
      <x:c r="AS4" s="19"/>
      <x:c r="AT4" s="19"/>
      <x:c r="AU4" s="19"/>
      <x:c r="AV4" s="19"/>
      <x:c r="AW4" s="19"/>
      <x:c r="AX4" s="20"/>
      <x:c r="AY4" s="18" t="n">
        <x:f>AY5</x:f>
        <x:v>46286</x:v>
      </x:c>
      <x:c r="AZ4" s="19"/>
      <x:c r="BA4" s="19"/>
      <x:c r="BB4" s="19"/>
      <x:c r="BC4" s="19"/>
      <x:c r="BD4" s="19"/>
      <x:c r="BE4" s="20"/>
      <x:c r="BF4" s="18" t="n">
        <x:f>BF5</x:f>
        <x:v>46293</x:v>
      </x:c>
      <x:c r="BG4" s="19"/>
      <x:c r="BH4" s="19"/>
      <x:c r="BI4" s="19"/>
      <x:c r="BJ4" s="19"/>
      <x:c r="BK4" s="19"/>
      <x:c r="BL4" s="20"/>
      <x:c r="BM4" s="18" t="n">
        <x:f>BM5</x:f>
        <x:v>46300</x:v>
      </x:c>
      <x:c r="BN4" s="19"/>
      <x:c r="BO4" s="19"/>
      <x:c r="BP4" s="19"/>
      <x:c r="BQ4" s="19"/>
      <x:c r="BR4" s="19"/>
      <x:c r="BS4" s="20"/>
      <x:c r="BT4" s="18" t="n">
        <x:f>BT5</x:f>
        <x:v>46307</x:v>
      </x:c>
      <x:c r="BU4" s="19"/>
      <x:c r="BV4" s="19"/>
      <x:c r="BW4" s="19"/>
      <x:c r="BX4" s="19"/>
      <x:c r="BY4" s="19"/>
      <x:c r="BZ4" s="20"/>
      <x:c r="CA4" s="18" t="n">
        <x:f>CA5</x:f>
        <x:v>46314</x:v>
      </x:c>
      <x:c r="CB4" s="19"/>
      <x:c r="CC4" s="19"/>
      <x:c r="CD4" s="19"/>
      <x:c r="CE4" s="19"/>
      <x:c r="CF4" s="19"/>
      <x:c r="CG4" s="20"/>
      <x:c r="CH4" s="18" t="n">
        <x:f>CH5</x:f>
        <x:v>46321</x:v>
      </x:c>
      <x:c r="CI4" s="19"/>
      <x:c r="CJ4" s="19"/>
      <x:c r="CK4" s="19"/>
      <x:c r="CL4" s="19"/>
      <x:c r="CM4" s="19"/>
      <x:c r="CN4" s="20"/>
      <x:c r="CO4" s="18" t="n">
        <x:f>CO5</x:f>
        <x:v>46328</x:v>
      </x:c>
      <x:c r="CP4" s="19"/>
      <x:c r="CQ4" s="19"/>
      <x:c r="CR4" s="19"/>
      <x:c r="CS4" s="19"/>
      <x:c r="CT4" s="19"/>
      <x:c r="CU4" s="20"/>
      <x:c r="CV4" s="18" t="n">
        <x:f>CV5</x:f>
        <x:v>46335</x:v>
      </x:c>
      <x:c r="CW4" s="19"/>
      <x:c r="CX4" s="19"/>
      <x:c r="CY4" s="19"/>
      <x:c r="CZ4" s="19"/>
      <x:c r="DA4" s="19"/>
      <x:c r="DB4" s="20"/>
      <x:c r="DC4" s="18" t="n">
        <x:f>DC5</x:f>
        <x:v>46342</x:v>
      </x:c>
      <x:c r="DD4" s="19"/>
      <x:c r="DE4" s="19"/>
      <x:c r="DF4" s="19"/>
      <x:c r="DG4" s="19"/>
      <x:c r="DH4" s="19"/>
      <x:c r="DI4" s="20"/>
    </x:row>
    <x:row r="5" ht="15" customHeight="1">
      <x:c r="A5" s="84"/>
      <x:c r="B5" s="21"/>
      <x:c r="C5" s="22"/>
      <x:c r="D5" s="22"/>
      <x:c r="E5" s="22"/>
      <x:c r="F5" s="22"/>
      <x:c r="G5" s="22"/>
      <x:c r="I5" s="23" t="e">
        <x:f>Início_do_projeto-WEEKDAY(Início_do_projeto,1)+2+7*(Semana_de_exibição-1)</x:f>
        <x:v>#NAME?</x:v>
      </x:c>
      <x:c r="J5" s="24" t="e">
        <x:f>I5+1</x:f>
        <x:v>#NAME?</x:v>
      </x:c>
      <x:c r="K5" s="24" t="e">
        <x:f t="shared" ref="K5:AX5" si="0">J5+1</x:f>
        <x:v>#NAME?</x:v>
      </x:c>
      <x:c r="L5" s="24">
        <x:f t="shared" si="0"/>
        <x:v>46247</x:v>
      </x:c>
      <x:c r="M5" s="24">
        <x:f t="shared" si="0"/>
        <x:v>46248</x:v>
      </x:c>
      <x:c r="N5" s="24">
        <x:f t="shared" si="0"/>
        <x:v>46249</x:v>
      </x:c>
      <x:c r="O5" s="25">
        <x:f t="shared" si="0"/>
        <x:v>46250</x:v>
      </x:c>
      <x:c r="P5" s="23" t="n">
        <x:f>O5+1</x:f>
        <x:v>46251</x:v>
      </x:c>
      <x:c r="Q5" s="24" t="n">
        <x:f>P5+1</x:f>
        <x:v>46252</x:v>
      </x:c>
      <x:c r="R5" s="24">
        <x:f t="shared" si="0"/>
        <x:v>46253</x:v>
      </x:c>
      <x:c r="S5" s="24">
        <x:f t="shared" si="0"/>
        <x:v>46254</x:v>
      </x:c>
      <x:c r="T5" s="24">
        <x:f t="shared" si="0"/>
        <x:v>46255</x:v>
      </x:c>
      <x:c r="U5" s="24">
        <x:f t="shared" si="0"/>
        <x:v>46256</x:v>
      </x:c>
      <x:c r="V5" s="25">
        <x:f t="shared" si="0"/>
        <x:v>46257</x:v>
      </x:c>
      <x:c r="W5" s="23" t="n">
        <x:f>V5+1</x:f>
        <x:v>46258</x:v>
      </x:c>
      <x:c r="X5" s="24" t="n">
        <x:f>W5+1</x:f>
        <x:v>46259</x:v>
      </x:c>
      <x:c r="Y5" s="24">
        <x:f t="shared" si="0"/>
        <x:v>46260</x:v>
      </x:c>
      <x:c r="Z5" s="24">
        <x:f t="shared" si="0"/>
        <x:v>46261</x:v>
      </x:c>
      <x:c r="AA5" s="24">
        <x:f t="shared" si="0"/>
        <x:v>46262</x:v>
      </x:c>
      <x:c r="AB5" s="24">
        <x:f t="shared" si="0"/>
        <x:v>46263</x:v>
      </x:c>
      <x:c r="AC5" s="25">
        <x:f t="shared" si="0"/>
        <x:v>46264</x:v>
      </x:c>
      <x:c r="AD5" s="23" t="n">
        <x:f>AC5+1</x:f>
        <x:v>46265</x:v>
      </x:c>
      <x:c r="AE5" s="24" t="n">
        <x:f>AD5+1</x:f>
        <x:v>46266</x:v>
      </x:c>
      <x:c r="AF5" s="24">
        <x:f t="shared" si="0"/>
        <x:v>46267</x:v>
      </x:c>
      <x:c r="AG5" s="24">
        <x:f t="shared" si="0"/>
        <x:v>46268</x:v>
      </x:c>
      <x:c r="AH5" s="24">
        <x:f t="shared" si="0"/>
        <x:v>46269</x:v>
      </x:c>
      <x:c r="AI5" s="24">
        <x:f t="shared" si="0"/>
        <x:v>46270</x:v>
      </x:c>
      <x:c r="AJ5" s="25">
        <x:f t="shared" si="0"/>
        <x:v>46271</x:v>
      </x:c>
      <x:c r="AK5" s="23" t="n">
        <x:f>AJ5+1</x:f>
        <x:v>46272</x:v>
      </x:c>
      <x:c r="AL5" s="24" t="n">
        <x:f>AK5+1</x:f>
        <x:v>46273</x:v>
      </x:c>
      <x:c r="AM5" s="24">
        <x:f t="shared" si="0"/>
        <x:v>46274</x:v>
      </x:c>
      <x:c r="AN5" s="24">
        <x:f t="shared" si="0"/>
        <x:v>46275</x:v>
      </x:c>
      <x:c r="AO5" s="24">
        <x:f t="shared" si="0"/>
        <x:v>46276</x:v>
      </x:c>
      <x:c r="AP5" s="24">
        <x:f t="shared" si="0"/>
        <x:v>46277</x:v>
      </x:c>
      <x:c r="AQ5" s="25">
        <x:f t="shared" si="0"/>
        <x:v>46278</x:v>
      </x:c>
      <x:c r="AR5" s="23" t="n">
        <x:f>AQ5+1</x:f>
        <x:v>46279</x:v>
      </x:c>
      <x:c r="AS5" s="24" t="n">
        <x:f>AR5+1</x:f>
        <x:v>46280</x:v>
      </x:c>
      <x:c r="AT5" s="24">
        <x:f t="shared" si="0"/>
        <x:v>46281</x:v>
      </x:c>
      <x:c r="AU5" s="24">
        <x:f t="shared" si="0"/>
        <x:v>46282</x:v>
      </x:c>
      <x:c r="AV5" s="24">
        <x:f t="shared" si="0"/>
        <x:v>46283</x:v>
      </x:c>
      <x:c r="AW5" s="24">
        <x:f t="shared" si="0"/>
        <x:v>46284</x:v>
      </x:c>
      <x:c r="AX5" s="25">
        <x:f t="shared" si="0"/>
        <x:v>46285</x:v>
      </x:c>
      <x:c r="AY5" s="23" t="n">
        <x:f>AX5+1</x:f>
        <x:v>46286</x:v>
      </x:c>
      <x:c r="AZ5" s="24" t="n">
        <x:f>AY5+1</x:f>
        <x:v>46287</x:v>
      </x:c>
      <x:c r="BA5" s="24" t="n">
        <x:f t="shared" ref="BA5:BE5" si="1">AZ5+1</x:f>
        <x:v>46288</x:v>
      </x:c>
      <x:c r="BB5" s="24">
        <x:f t="shared" si="1"/>
        <x:v>46289</x:v>
      </x:c>
      <x:c r="BC5" s="24">
        <x:f t="shared" si="1"/>
        <x:v>46290</x:v>
      </x:c>
      <x:c r="BD5" s="24">
        <x:f t="shared" si="1"/>
        <x:v>46291</x:v>
      </x:c>
      <x:c r="BE5" s="25">
        <x:f t="shared" si="1"/>
        <x:v>46292</x:v>
      </x:c>
      <x:c r="BF5" s="23" t="n">
        <x:f>BE5+1</x:f>
        <x:v>46293</x:v>
      </x:c>
      <x:c r="BG5" s="24" t="n">
        <x:f>BF5+1</x:f>
        <x:v>46294</x:v>
      </x:c>
      <x:c r="BH5" s="24" t="n">
        <x:f t="shared" ref="BH5:BL5" si="2">BG5+1</x:f>
        <x:v>46295</x:v>
      </x:c>
      <x:c r="BI5" s="24">
        <x:f t="shared" si="2"/>
        <x:v>46296</x:v>
      </x:c>
      <x:c r="BJ5" s="24">
        <x:f t="shared" si="2"/>
        <x:v>46297</x:v>
      </x:c>
      <x:c r="BK5" s="24">
        <x:f t="shared" si="2"/>
        <x:v>46298</x:v>
      </x:c>
      <x:c r="BL5" s="25">
        <x:f t="shared" si="2"/>
        <x:v>46299</x:v>
      </x:c>
      <x:c r="BM5" s="23" t="n">
        <x:f>BL5+1</x:f>
        <x:v>46300</x:v>
      </x:c>
      <x:c r="BN5" s="24" t="n">
        <x:f>BM5+1</x:f>
        <x:v>46301</x:v>
      </x:c>
      <x:c r="BO5" s="24" t="n">
        <x:f t="shared" ref="BO5" si="3">BN5+1</x:f>
        <x:v>46302</x:v>
      </x:c>
      <x:c r="BP5" s="24" t="n">
        <x:f t="shared" ref="BP5" si="4">BO5+1</x:f>
        <x:v>46303</x:v>
      </x:c>
      <x:c r="BQ5" s="24" t="n">
        <x:f t="shared" ref="BQ5" si="5">BP5+1</x:f>
        <x:v>46304</x:v>
      </x:c>
      <x:c r="BR5" s="24" t="n">
        <x:f t="shared" ref="BR5" si="6">BQ5+1</x:f>
        <x:v>46305</x:v>
      </x:c>
      <x:c r="BS5" s="25" t="n">
        <x:f t="shared" ref="BS5" si="7">BR5+1</x:f>
        <x:v>46306</x:v>
      </x:c>
      <x:c r="BT5" s="23" t="n">
        <x:f>BS5+1</x:f>
        <x:v>46307</x:v>
      </x:c>
      <x:c r="BU5" s="24" t="n">
        <x:f>BT5+1</x:f>
        <x:v>46308</x:v>
      </x:c>
      <x:c r="BV5" s="24" t="n">
        <x:f t="shared" ref="BV5" si="8">BU5+1</x:f>
        <x:v>46309</x:v>
      </x:c>
      <x:c r="BW5" s="24" t="n">
        <x:f t="shared" ref="BW5" si="9">BV5+1</x:f>
        <x:v>46310</x:v>
      </x:c>
      <x:c r="BX5" s="24" t="n">
        <x:f t="shared" ref="BX5" si="10">BW5+1</x:f>
        <x:v>46311</x:v>
      </x:c>
      <x:c r="BY5" s="24" t="n">
        <x:f t="shared" ref="BY5" si="11">BX5+1</x:f>
        <x:v>46312</x:v>
      </x:c>
      <x:c r="BZ5" s="25" t="n">
        <x:f t="shared" ref="BZ5" si="12">BY5+1</x:f>
        <x:v>46313</x:v>
      </x:c>
      <x:c r="CA5" s="23" t="n">
        <x:f>BZ5+1</x:f>
        <x:v>46314</x:v>
      </x:c>
      <x:c r="CB5" s="24" t="n">
        <x:f>CA5+1</x:f>
        <x:v>46315</x:v>
      </x:c>
      <x:c r="CC5" s="24" t="n">
        <x:f t="shared" ref="CC5" si="13">CB5+1</x:f>
        <x:v>46316</x:v>
      </x:c>
      <x:c r="CD5" s="24" t="n">
        <x:f t="shared" ref="CD5" si="14">CC5+1</x:f>
        <x:v>46317</x:v>
      </x:c>
      <x:c r="CE5" s="24" t="n">
        <x:f t="shared" ref="CE5" si="15">CD5+1</x:f>
        <x:v>46318</x:v>
      </x:c>
      <x:c r="CF5" s="24" t="n">
        <x:f t="shared" ref="CF5" si="16">CE5+1</x:f>
        <x:v>46319</x:v>
      </x:c>
      <x:c r="CG5" s="25" t="n">
        <x:f t="shared" ref="CG5" si="17">CF5+1</x:f>
        <x:v>46320</x:v>
      </x:c>
      <x:c r="CH5" s="23" t="n">
        <x:f>CG5+1</x:f>
        <x:v>46321</x:v>
      </x:c>
      <x:c r="CI5" s="24" t="n">
        <x:f>CH5+1</x:f>
        <x:v>46322</x:v>
      </x:c>
      <x:c r="CJ5" s="24" t="n">
        <x:f t="shared" ref="CJ5" si="18">CI5+1</x:f>
        <x:v>46323</x:v>
      </x:c>
      <x:c r="CK5" s="24" t="n">
        <x:f t="shared" ref="CK5" si="19">CJ5+1</x:f>
        <x:v>46324</x:v>
      </x:c>
      <x:c r="CL5" s="24" t="n">
        <x:f t="shared" ref="CL5" si="20">CK5+1</x:f>
        <x:v>46325</x:v>
      </x:c>
      <x:c r="CM5" s="24" t="n">
        <x:f t="shared" ref="CM5" si="21">CL5+1</x:f>
        <x:v>46326</x:v>
      </x:c>
      <x:c r="CN5" s="25" t="n">
        <x:f t="shared" ref="CN5" si="22">CM5+1</x:f>
        <x:v>46327</x:v>
      </x:c>
      <x:c r="CO5" s="23" t="n">
        <x:f>CN5+1</x:f>
        <x:v>46328</x:v>
      </x:c>
      <x:c r="CP5" s="24" t="n">
        <x:f>CO5+1</x:f>
        <x:v>46329</x:v>
      </x:c>
      <x:c r="CQ5" s="24" t="n">
        <x:f t="shared" ref="CQ5" si="23">CP5+1</x:f>
        <x:v>46330</x:v>
      </x:c>
      <x:c r="CR5" s="24" t="n">
        <x:f t="shared" ref="CR5" si="24">CQ5+1</x:f>
        <x:v>46331</x:v>
      </x:c>
      <x:c r="CS5" s="24" t="n">
        <x:f t="shared" ref="CS5" si="25">CR5+1</x:f>
        <x:v>46332</x:v>
      </x:c>
      <x:c r="CT5" s="24" t="n">
        <x:f t="shared" ref="CT5" si="26">CS5+1</x:f>
        <x:v>46333</x:v>
      </x:c>
      <x:c r="CU5" s="25" t="n">
        <x:f>CT5+1</x:f>
        <x:v>46334</x:v>
      </x:c>
      <x:c r="CV5" s="23" t="n">
        <x:f>CU5+1</x:f>
        <x:v>46335</x:v>
      </x:c>
      <x:c r="CW5" s="24" t="n">
        <x:f>CV5+1</x:f>
        <x:v>46336</x:v>
      </x:c>
      <x:c r="CX5" s="24" t="n">
        <x:f t="shared" ref="CX5" si="27">CW5+1</x:f>
        <x:v>46337</x:v>
      </x:c>
      <x:c r="CY5" s="24" t="n">
        <x:f t="shared" ref="CY5" si="28">CX5+1</x:f>
        <x:v>46338</x:v>
      </x:c>
      <x:c r="CZ5" s="24" t="n">
        <x:f t="shared" ref="CZ5" si="29">CY5+1</x:f>
        <x:v>46339</x:v>
      </x:c>
      <x:c r="DA5" s="24" t="n">
        <x:f t="shared" ref="DA5" si="30">CZ5+1</x:f>
        <x:v>46340</x:v>
      </x:c>
      <x:c r="DB5" s="25" t="n">
        <x:f>DA5+1</x:f>
        <x:v>46341</x:v>
      </x:c>
      <x:c r="DC5" s="23" t="n">
        <x:f>DB5+1</x:f>
        <x:v>46342</x:v>
      </x:c>
      <x:c r="DD5" s="24" t="n">
        <x:f>DC5+1</x:f>
        <x:v>46343</x:v>
      </x:c>
      <x:c r="DE5" s="24" t="n">
        <x:f t="shared" ref="DE5" si="31">DD5+1</x:f>
        <x:v>46344</x:v>
      </x:c>
      <x:c r="DF5" s="24" t="n">
        <x:f t="shared" ref="DF5" si="32">DE5+1</x:f>
        <x:v>46345</x:v>
      </x:c>
      <x:c r="DG5" s="24" t="n">
        <x:f t="shared" ref="DG5" si="33">DF5+1</x:f>
        <x:v>46346</x:v>
      </x:c>
      <x:c r="DH5" s="24" t="n">
        <x:f t="shared" ref="DH5" si="34">DG5+1</x:f>
        <x:v>46347</x:v>
      </x:c>
      <x:c r="DI5" s="25" t="n">
        <x:f>DH5+1</x:f>
        <x:v>46348</x:v>
      </x:c>
    </x:row>
    <x:row r="6" ht="30" customHeight="1">
      <x:c r="A6" s="84"/>
      <x:c r="B6" s="26" t="s">
        <x:v>3</x:v>
      </x:c>
      <x:c r="C6" s="27" t="s">
        <x:v>4</x:v>
      </x:c>
      <x:c r="D6" s="27" t="s">
        <x:v>5</x:v>
      </x:c>
      <x:c r="E6" s="27" t="s">
        <x:v>6</x:v>
      </x:c>
      <x:c r="F6" s="27" t="s">
        <x:v>7</x:v>
      </x:c>
      <x:c r="G6" s="27"/>
      <x:c r="H6" s="27" t="s">
        <x:v>8</x:v>
      </x:c>
      <x:c r="I6" s="28" t="e">
        <x:f t="shared" ref="I6" si="35">LEFT(TEXT(I5,"ddd"),1)</x:f>
        <x:v>#NAME?</x:v>
      </x:c>
      <x:c r="J6" s="28" t="e">
        <x:f t="shared" ref="J6:AR6" si="36">LEFT(TEXT(J5,"ddd"),1)</x:f>
        <x:v>#NAME?</x:v>
      </x:c>
      <x:c r="K6" s="28" t="str">
        <x:f t="shared" si="36"/>
        <x:v>q</x:v>
      </x:c>
      <x:c r="L6" s="28" t="str">
        <x:f t="shared" si="36"/>
        <x:v>q</x:v>
      </x:c>
      <x:c r="M6" s="28" t="str">
        <x:f t="shared" si="36"/>
        <x:v>s</x:v>
      </x:c>
      <x:c r="N6" s="28" t="str">
        <x:f t="shared" si="36"/>
        <x:v>s</x:v>
      </x:c>
      <x:c r="O6" s="28" t="str">
        <x:f t="shared" si="36"/>
        <x:v>d</x:v>
      </x:c>
      <x:c r="P6" s="28" t="str">
        <x:f t="shared" si="36"/>
        <x:v>s</x:v>
      </x:c>
      <x:c r="Q6" s="28" t="str">
        <x:f t="shared" si="36"/>
        <x:v>t</x:v>
      </x:c>
      <x:c r="R6" s="28" t="str">
        <x:f t="shared" si="36"/>
        <x:v>q</x:v>
      </x:c>
      <x:c r="S6" s="28" t="str">
        <x:f t="shared" si="36"/>
        <x:v>q</x:v>
      </x:c>
      <x:c r="T6" s="28" t="str">
        <x:f t="shared" si="36"/>
        <x:v>s</x:v>
      </x:c>
      <x:c r="U6" s="28" t="str">
        <x:f t="shared" si="36"/>
        <x:v>s</x:v>
      </x:c>
      <x:c r="V6" s="28" t="str">
        <x:f t="shared" si="36"/>
        <x:v>d</x:v>
      </x:c>
      <x:c r="W6" s="28" t="str">
        <x:f t="shared" si="36"/>
        <x:v>s</x:v>
      </x:c>
      <x:c r="X6" s="28" t="str">
        <x:f t="shared" si="36"/>
        <x:v>t</x:v>
      </x:c>
      <x:c r="Y6" s="28" t="str">
        <x:f t="shared" si="36"/>
        <x:v>q</x:v>
      </x:c>
      <x:c r="Z6" s="28" t="str">
        <x:f t="shared" si="36"/>
        <x:v>q</x:v>
      </x:c>
      <x:c r="AA6" s="28" t="str">
        <x:f t="shared" si="36"/>
        <x:v>s</x:v>
      </x:c>
      <x:c r="AB6" s="28" t="str">
        <x:f t="shared" si="36"/>
        <x:v>s</x:v>
      </x:c>
      <x:c r="AC6" s="28" t="str">
        <x:f t="shared" si="36"/>
        <x:v>d</x:v>
      </x:c>
      <x:c r="AD6" s="28" t="str">
        <x:f t="shared" si="36"/>
        <x:v>s</x:v>
      </x:c>
      <x:c r="AE6" s="28" t="str">
        <x:f t="shared" si="36"/>
        <x:v>t</x:v>
      </x:c>
      <x:c r="AF6" s="28" t="str">
        <x:f t="shared" si="36"/>
        <x:v>q</x:v>
      </x:c>
      <x:c r="AG6" s="28" t="str">
        <x:f t="shared" si="36"/>
        <x:v>q</x:v>
      </x:c>
      <x:c r="AH6" s="28" t="str">
        <x:f t="shared" si="36"/>
        <x:v>s</x:v>
      </x:c>
      <x:c r="AI6" s="28" t="str">
        <x:f t="shared" si="36"/>
        <x:v>s</x:v>
      </x:c>
      <x:c r="AJ6" s="28" t="str">
        <x:f t="shared" si="36"/>
        <x:v>d</x:v>
      </x:c>
      <x:c r="AK6" s="28" t="str">
        <x:f t="shared" si="36"/>
        <x:v>s</x:v>
      </x:c>
      <x:c r="AL6" s="28" t="str">
        <x:f t="shared" si="36"/>
        <x:v>t</x:v>
      </x:c>
      <x:c r="AM6" s="28" t="str">
        <x:f t="shared" si="36"/>
        <x:v>q</x:v>
      </x:c>
      <x:c r="AN6" s="28" t="str">
        <x:f t="shared" si="36"/>
        <x:v>q</x:v>
      </x:c>
      <x:c r="AO6" s="28" t="str">
        <x:f t="shared" si="36"/>
        <x:v>s</x:v>
      </x:c>
      <x:c r="AP6" s="28" t="str">
        <x:f t="shared" si="36"/>
        <x:v>s</x:v>
      </x:c>
      <x:c r="AQ6" s="28" t="str">
        <x:f t="shared" si="36"/>
        <x:v>d</x:v>
      </x:c>
      <x:c r="AR6" s="28" t="str">
        <x:f t="shared" si="36"/>
        <x:v>s</x:v>
      </x:c>
      <x:c r="AS6" s="28" t="str">
        <x:f t="shared" ref="AS6:BL6" si="37">LEFT(TEXT(AS5,"ddd"),1)</x:f>
        <x:v>T</x:v>
      </x:c>
      <x:c r="AT6" s="28" t="str">
        <x:f t="shared" si="37"/>
        <x:v>q</x:v>
      </x:c>
      <x:c r="AU6" s="28" t="str">
        <x:f t="shared" si="37"/>
        <x:v>q</x:v>
      </x:c>
      <x:c r="AV6" s="28" t="str">
        <x:f t="shared" si="37"/>
        <x:v>s</x:v>
      </x:c>
      <x:c r="AW6" s="28" t="str">
        <x:f t="shared" si="37"/>
        <x:v>s</x:v>
      </x:c>
      <x:c r="AX6" s="28" t="str">
        <x:f t="shared" si="37"/>
        <x:v>d</x:v>
      </x:c>
      <x:c r="AY6" s="28" t="str">
        <x:f t="shared" si="37"/>
        <x:v>s</x:v>
      </x:c>
      <x:c r="AZ6" s="28" t="str">
        <x:f t="shared" si="37"/>
        <x:v>t</x:v>
      </x:c>
      <x:c r="BA6" s="28" t="str">
        <x:f t="shared" si="37"/>
        <x:v>q</x:v>
      </x:c>
      <x:c r="BB6" s="28" t="str">
        <x:f t="shared" si="37"/>
        <x:v>q</x:v>
      </x:c>
      <x:c r="BC6" s="28" t="str">
        <x:f t="shared" si="37"/>
        <x:v>s</x:v>
      </x:c>
      <x:c r="BD6" s="28" t="str">
        <x:f t="shared" si="37"/>
        <x:v>s</x:v>
      </x:c>
      <x:c r="BE6" s="28" t="str">
        <x:f t="shared" si="37"/>
        <x:v>d</x:v>
      </x:c>
      <x:c r="BF6" s="28" t="str">
        <x:f t="shared" si="37"/>
        <x:v>s</x:v>
      </x:c>
      <x:c r="BG6" s="28" t="str">
        <x:f t="shared" si="37"/>
        <x:v>t</x:v>
      </x:c>
      <x:c r="BH6" s="28" t="str">
        <x:f t="shared" si="37"/>
        <x:v>q</x:v>
      </x:c>
      <x:c r="BI6" s="28" t="str">
        <x:f t="shared" si="37"/>
        <x:v>q</x:v>
      </x:c>
      <x:c r="BJ6" s="28" t="str">
        <x:f t="shared" si="37"/>
        <x:v>s</x:v>
      </x:c>
      <x:c r="BK6" s="28" t="str">
        <x:f t="shared" si="37"/>
        <x:v>s</x:v>
      </x:c>
      <x:c r="BL6" s="28" t="str">
        <x:f t="shared" si="37"/>
        <x:v>d</x:v>
      </x:c>
      <x:c r="BM6" s="28" t="str">
        <x:f t="shared" ref="BM6:BZ6" si="38">LEFT(TEXT(BM5,"ddd"),1)</x:f>
        <x:v>M</x:v>
      </x:c>
      <x:c r="BN6" s="28" t="str">
        <x:f t="shared" si="38"/>
        <x:v>t</x:v>
      </x:c>
      <x:c r="BO6" s="28" t="str">
        <x:f t="shared" si="38"/>
        <x:v>q</x:v>
      </x:c>
      <x:c r="BP6" s="28" t="str">
        <x:f t="shared" si="38"/>
        <x:v>q</x:v>
      </x:c>
      <x:c r="BQ6" s="28" t="str">
        <x:f t="shared" si="38"/>
        <x:v>s</x:v>
      </x:c>
      <x:c r="BR6" s="28" t="str">
        <x:f t="shared" si="38"/>
        <x:v>s</x:v>
      </x:c>
      <x:c r="BS6" s="28" t="str">
        <x:f t="shared" si="38"/>
        <x:v>d</x:v>
      </x:c>
      <x:c r="BT6" s="28" t="str">
        <x:f t="shared" si="38"/>
        <x:v>s</x:v>
      </x:c>
      <x:c r="BU6" s="28" t="str">
        <x:f t="shared" si="38"/>
        <x:v>t</x:v>
      </x:c>
      <x:c r="BV6" s="28" t="str">
        <x:f t="shared" si="38"/>
        <x:v>q</x:v>
      </x:c>
      <x:c r="BW6" s="28" t="str">
        <x:f t="shared" si="38"/>
        <x:v>q</x:v>
      </x:c>
      <x:c r="BX6" s="28" t="str">
        <x:f t="shared" si="38"/>
        <x:v>s</x:v>
      </x:c>
      <x:c r="BY6" s="28" t="str">
        <x:f t="shared" si="38"/>
        <x:v>s</x:v>
      </x:c>
      <x:c r="BZ6" s="28" t="str">
        <x:f t="shared" si="38"/>
        <x:v>d</x:v>
      </x:c>
      <x:c r="CA6" s="28" t="str">
        <x:f t="shared" ref="CA6:CU6" si="39">LEFT(TEXT(CA5,"ddd"),1)</x:f>
        <x:v>M</x:v>
      </x:c>
      <x:c r="CB6" s="28" t="str">
        <x:f t="shared" si="39"/>
        <x:v>t</x:v>
      </x:c>
      <x:c r="CC6" s="28" t="str">
        <x:f t="shared" si="39"/>
        <x:v>q</x:v>
      </x:c>
      <x:c r="CD6" s="28" t="str">
        <x:f t="shared" si="39"/>
        <x:v>q</x:v>
      </x:c>
      <x:c r="CE6" s="28" t="str">
        <x:f t="shared" si="39"/>
        <x:v>s</x:v>
      </x:c>
      <x:c r="CF6" s="28" t="str">
        <x:f t="shared" si="39"/>
        <x:v>s</x:v>
      </x:c>
      <x:c r="CG6" s="28" t="str">
        <x:f t="shared" si="39"/>
        <x:v>d</x:v>
      </x:c>
      <x:c r="CH6" s="28" t="str">
        <x:f t="shared" si="39"/>
        <x:v>s</x:v>
      </x:c>
      <x:c r="CI6" s="28" t="str">
        <x:f t="shared" si="39"/>
        <x:v>t</x:v>
      </x:c>
      <x:c r="CJ6" s="28" t="str">
        <x:f t="shared" si="39"/>
        <x:v>q</x:v>
      </x:c>
      <x:c r="CK6" s="28" t="str">
        <x:f t="shared" si="39"/>
        <x:v>q</x:v>
      </x:c>
      <x:c r="CL6" s="28" t="str">
        <x:f t="shared" si="39"/>
        <x:v>s</x:v>
      </x:c>
      <x:c r="CM6" s="28" t="str">
        <x:f t="shared" si="39"/>
        <x:v>s</x:v>
      </x:c>
      <x:c r="CN6" s="28" t="str">
        <x:f t="shared" si="39"/>
        <x:v>d</x:v>
      </x:c>
      <x:c r="CO6" s="28" t="str">
        <x:f t="shared" si="39"/>
        <x:v>s</x:v>
      </x:c>
      <x:c r="CP6" s="28" t="str">
        <x:f t="shared" si="39"/>
        <x:v>t</x:v>
      </x:c>
      <x:c r="CQ6" s="28" t="str">
        <x:f t="shared" si="39"/>
        <x:v>q</x:v>
      </x:c>
      <x:c r="CR6" s="28" t="str">
        <x:f t="shared" si="39"/>
        <x:v>q</x:v>
      </x:c>
      <x:c r="CS6" s="28" t="str">
        <x:f t="shared" si="39"/>
        <x:v>s</x:v>
      </x:c>
      <x:c r="CT6" s="28" t="str">
        <x:f t="shared" si="39"/>
        <x:v>s</x:v>
      </x:c>
      <x:c r="CU6" s="28" t="str">
        <x:f t="shared" si="39"/>
        <x:v>d</x:v>
      </x:c>
      <x:c r="CV6" s="28" t="str">
        <x:f t="shared" ref="CV6:DB6" si="40">LEFT(TEXT(CV5,"ddd"),1)</x:f>
        <x:v>M</x:v>
      </x:c>
      <x:c r="CW6" s="28" t="str">
        <x:f t="shared" si="40"/>
        <x:v>t</x:v>
      </x:c>
      <x:c r="CX6" s="28" t="str">
        <x:f t="shared" si="40"/>
        <x:v>q</x:v>
      </x:c>
      <x:c r="CY6" s="28" t="str">
        <x:f t="shared" si="40"/>
        <x:v>q</x:v>
      </x:c>
      <x:c r="CZ6" s="28" t="str">
        <x:f t="shared" si="40"/>
        <x:v>s</x:v>
      </x:c>
      <x:c r="DA6" s="28" t="str">
        <x:f t="shared" si="40"/>
        <x:v>s</x:v>
      </x:c>
      <x:c r="DB6" s="28" t="str">
        <x:f t="shared" si="40"/>
        <x:v>d</x:v>
      </x:c>
      <x:c r="DC6" s="28" t="str">
        <x:f t="shared" ref="DC6:DI6" si="41">LEFT(TEXT(DC5,"ddd"),1)</x:f>
        <x:v>M</x:v>
      </x:c>
      <x:c r="DD6" s="28" t="str">
        <x:f t="shared" si="41"/>
        <x:v>t</x:v>
      </x:c>
      <x:c r="DE6" s="28" t="str">
        <x:f t="shared" si="41"/>
        <x:v>q</x:v>
      </x:c>
      <x:c r="DF6" s="28" t="str">
        <x:f t="shared" si="41"/>
        <x:v>q</x:v>
      </x:c>
      <x:c r="DG6" s="28" t="str">
        <x:f t="shared" si="41"/>
        <x:v>s</x:v>
      </x:c>
      <x:c r="DH6" s="28" t="str">
        <x:f t="shared" si="41"/>
        <x:v>s</x:v>
      </x:c>
      <x:c r="DI6" s="28" t="str">
        <x:f t="shared" si="41"/>
        <x:v>d</x:v>
      </x:c>
    </x:row>
    <x:row r="7" ht="23.450000762939453" hidden="1" customHeight="1">
      <x:c r="A7" s="85"/>
      <x:c r="C7" s="16"/>
      <x:c r="E7" s="7"/>
      <x:c r="H7" s="7" t="e">
        <x:f>IF(OR(ISBLANK(início_da_tarefa),ISBLANK(término_da_tarefa)),"",término_da_tarefa-início_da_tarefa+1)</x:f>
        <x:v>#NAME?</x:v>
      </x:c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  <x:c r="AI7" s="29"/>
      <x:c r="AJ7" s="29"/>
      <x:c r="AK7" s="29"/>
      <x:c r="AL7" s="29"/>
      <x:c r="AM7" s="29"/>
      <x:c r="AN7" s="29"/>
      <x:c r="AO7" s="29"/>
      <x:c r="AP7" s="29"/>
      <x:c r="AQ7" s="29"/>
      <x:c r="AR7" s="29"/>
      <x:c r="AS7" s="29"/>
      <x:c r="AT7" s="29"/>
      <x:c r="AU7" s="29"/>
      <x:c r="AV7" s="29"/>
      <x:c r="AW7" s="29"/>
      <x:c r="AX7" s="29"/>
      <x:c r="AY7" s="29"/>
      <x:c r="AZ7" s="29"/>
      <x:c r="BA7" s="29"/>
      <x:c r="BB7" s="29"/>
      <x:c r="BC7" s="29"/>
      <x:c r="BD7" s="29"/>
      <x:c r="BE7" s="29"/>
      <x:c r="BF7" s="29"/>
      <x:c r="BG7" s="29"/>
      <x:c r="BH7" s="29"/>
      <x:c r="BI7" s="29"/>
      <x:c r="BJ7" s="29"/>
      <x:c r="BK7" s="29"/>
      <x:c r="BL7" s="29"/>
      <x:c r="BM7" s="29"/>
      <x:c r="BN7" s="29"/>
      <x:c r="BO7" s="29"/>
      <x:c r="BP7" s="29"/>
      <x:c r="BQ7" s="29"/>
      <x:c r="BR7" s="29"/>
      <x:c r="BS7" s="29"/>
      <x:c r="BT7" s="29"/>
      <x:c r="BU7" s="29"/>
      <x:c r="BV7" s="29"/>
      <x:c r="BW7" s="29"/>
      <x:c r="BX7" s="29"/>
      <x:c r="BY7" s="29"/>
      <x:c r="BZ7" s="29"/>
      <x:c r="CA7" s="29"/>
      <x:c r="CB7" s="29"/>
      <x:c r="CC7" s="29"/>
      <x:c r="CD7" s="29"/>
      <x:c r="CE7" s="29"/>
      <x:c r="CF7" s="29"/>
      <x:c r="CG7" s="29"/>
      <x:c r="CH7" s="29"/>
      <x:c r="CI7" s="29"/>
      <x:c r="CJ7" s="29"/>
      <x:c r="CK7" s="29"/>
      <x:c r="CL7" s="29"/>
      <x:c r="CM7" s="29"/>
      <x:c r="CN7" s="29"/>
      <x:c r="CO7" s="29"/>
      <x:c r="CP7" s="29"/>
      <x:c r="CQ7" s="29"/>
      <x:c r="CR7" s="29"/>
      <x:c r="CS7" s="29"/>
      <x:c r="CT7" s="29"/>
      <x:c r="CU7" s="29"/>
      <x:c r="CV7" s="29"/>
      <x:c r="CW7" s="29"/>
      <x:c r="CX7" s="29"/>
      <x:c r="CY7" s="29"/>
      <x:c r="CZ7" s="29"/>
      <x:c r="DA7" s="29"/>
      <x:c r="DB7" s="29"/>
      <x:c r="DC7" s="29"/>
      <x:c r="DD7" s="29"/>
      <x:c r="DE7" s="29"/>
      <x:c r="DF7" s="29"/>
      <x:c r="DG7" s="29"/>
      <x:c r="DH7" s="29"/>
      <x:c r="DI7" s="29"/>
    </x:row>
    <x:row r="8" s="36" customFormat="1" ht="30" customHeight="1">
      <x:c r="A8" s="84"/>
      <x:c r="B8" s="30" t="s">
        <x:v>9</x:v>
      </x:c>
      <x:c r="C8" s="31"/>
      <x:c r="D8" s="32">
        <x:v>1</x:v>
      </x:c>
      <x:c r="E8" s="33"/>
      <x:c r="F8" s="34"/>
      <x:c r="G8" s="35"/>
      <x:c r="H8" s="35" t="e">
        <x:f t="shared" ref="H8:H38" si="42">IF(OR(ISBLANK(início_da_tarefa),ISBLANK(término_da_tarefa)),"",término_da_tarefa-início_da_tarefa+1)</x:f>
        <x:v>#NAME?</x:v>
      </x:c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  <x:c r="AI8" s="29"/>
      <x:c r="AJ8" s="29"/>
      <x:c r="AK8" s="29"/>
      <x:c r="AL8" s="29"/>
      <x:c r="AM8" s="29"/>
      <x:c r="AN8" s="29"/>
      <x:c r="AO8" s="29"/>
      <x:c r="AP8" s="29"/>
      <x:c r="AQ8" s="29"/>
      <x:c r="AR8" s="29"/>
      <x:c r="AS8" s="29"/>
      <x:c r="AT8" s="29"/>
      <x:c r="AU8" s="29"/>
      <x:c r="AV8" s="29"/>
      <x:c r="AW8" s="29"/>
      <x:c r="AX8" s="29"/>
      <x:c r="AY8" s="29"/>
      <x:c r="AZ8" s="29"/>
      <x:c r="BA8" s="29"/>
      <x:c r="BB8" s="29"/>
      <x:c r="BC8" s="29"/>
      <x:c r="BD8" s="29"/>
      <x:c r="BE8" s="29"/>
      <x:c r="BF8" s="29"/>
      <x:c r="BG8" s="29"/>
      <x:c r="BH8" s="29"/>
      <x:c r="BI8" s="29"/>
      <x:c r="BJ8" s="29"/>
      <x:c r="BK8" s="29"/>
      <x:c r="BL8" s="29"/>
      <x:c r="BM8" s="29"/>
      <x:c r="BN8" s="29"/>
      <x:c r="BO8" s="29"/>
      <x:c r="BP8" s="29"/>
      <x:c r="BQ8" s="29"/>
      <x:c r="BR8" s="29"/>
      <x:c r="BS8" s="29"/>
      <x:c r="BT8" s="29"/>
      <x:c r="BU8" s="29"/>
      <x:c r="BV8" s="29"/>
      <x:c r="BW8" s="29"/>
      <x:c r="BX8" s="29"/>
      <x:c r="BY8" s="29"/>
      <x:c r="BZ8" s="29"/>
      <x:c r="CA8" s="29"/>
      <x:c r="CB8" s="29"/>
      <x:c r="CC8" s="29"/>
      <x:c r="CD8" s="29"/>
      <x:c r="CE8" s="29"/>
      <x:c r="CF8" s="29"/>
      <x:c r="CG8" s="29"/>
      <x:c r="CH8" s="29"/>
      <x:c r="CI8" s="29"/>
      <x:c r="CJ8" s="29"/>
      <x:c r="CK8" s="29"/>
      <x:c r="CL8" s="29"/>
      <x:c r="CM8" s="29"/>
      <x:c r="CN8" s="29"/>
      <x:c r="CO8" s="29"/>
      <x:c r="CP8" s="29"/>
      <x:c r="CQ8" s="29"/>
      <x:c r="CR8" s="29"/>
      <x:c r="CS8" s="29"/>
      <x:c r="CT8" s="29"/>
      <x:c r="CU8" s="29"/>
      <x:c r="CV8" s="29"/>
      <x:c r="CW8" s="29"/>
      <x:c r="CX8" s="29"/>
      <x:c r="CY8" s="29"/>
      <x:c r="CZ8" s="29"/>
      <x:c r="DA8" s="29"/>
      <x:c r="DB8" s="29"/>
      <x:c r="DC8" s="29"/>
      <x:c r="DD8" s="29"/>
      <x:c r="DE8" s="29"/>
      <x:c r="DF8" s="29"/>
      <x:c r="DG8" s="29"/>
      <x:c r="DH8" s="29"/>
      <x:c r="DI8" s="29"/>
    </x:row>
    <x:row r="9" s="36" customFormat="1" ht="30" customHeight="1">
      <x:c r="A9" s="84"/>
      <x:c r="B9" s="37" t="s">
        <x:v>10</x:v>
      </x:c>
      <x:c r="C9" s="38" t="s">
        <x:v>11</x:v>
      </x:c>
      <x:c r="D9" s="39">
        <x:v>1</x:v>
      </x:c>
      <x:c r="E9" s="40" t="e">
        <x:f>Início_do_projeto</x:f>
        <x:v>#NAME?</x:v>
      </x:c>
      <x:c r="F9" s="40">
        <x:v>46259</x:v>
      </x:c>
      <x:c r="G9" s="35"/>
      <x:c r="H9" s="35">
        <x:f t="shared" si="42"/>
        <x:v>16</x:v>
      </x:c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  <x:c r="AI9" s="29"/>
      <x:c r="AJ9" s="29"/>
      <x:c r="AK9" s="29"/>
      <x:c r="AL9" s="29"/>
      <x:c r="AM9" s="29"/>
      <x:c r="AN9" s="29"/>
      <x:c r="AO9" s="29"/>
      <x:c r="AP9" s="29"/>
      <x:c r="AQ9" s="29"/>
      <x:c r="AR9" s="29"/>
      <x:c r="AS9" s="29"/>
      <x:c r="AT9" s="29"/>
      <x:c r="AU9" s="29"/>
      <x:c r="AV9" s="29"/>
      <x:c r="AW9" s="29"/>
      <x:c r="AX9" s="29"/>
      <x:c r="AY9" s="29"/>
      <x:c r="AZ9" s="29"/>
      <x:c r="BA9" s="29"/>
      <x:c r="BB9" s="29"/>
      <x:c r="BC9" s="29"/>
      <x:c r="BD9" s="29"/>
      <x:c r="BE9" s="29"/>
      <x:c r="BF9" s="29"/>
      <x:c r="BG9" s="29"/>
      <x:c r="BH9" s="29"/>
      <x:c r="BI9" s="29"/>
      <x:c r="BJ9" s="29"/>
      <x:c r="BK9" s="29"/>
      <x:c r="BL9" s="29"/>
      <x:c r="BM9" s="29"/>
      <x:c r="BN9" s="29"/>
      <x:c r="BO9" s="29"/>
      <x:c r="BP9" s="29"/>
      <x:c r="BQ9" s="29"/>
      <x:c r="BR9" s="29"/>
      <x:c r="BS9" s="29"/>
      <x:c r="BT9" s="29"/>
      <x:c r="BU9" s="29"/>
      <x:c r="BV9" s="29"/>
      <x:c r="BW9" s="29"/>
      <x:c r="BX9" s="29"/>
      <x:c r="BY9" s="29"/>
      <x:c r="BZ9" s="29"/>
      <x:c r="CA9" s="29"/>
      <x:c r="CB9" s="29"/>
      <x:c r="CC9" s="29"/>
      <x:c r="CD9" s="29"/>
      <x:c r="CE9" s="29"/>
      <x:c r="CF9" s="29"/>
      <x:c r="CG9" s="29"/>
      <x:c r="CH9" s="29"/>
      <x:c r="CI9" s="29"/>
      <x:c r="CJ9" s="29"/>
      <x:c r="CK9" s="29"/>
      <x:c r="CL9" s="29"/>
      <x:c r="CM9" s="29"/>
      <x:c r="CN9" s="29"/>
      <x:c r="CO9" s="29"/>
      <x:c r="CP9" s="29"/>
      <x:c r="CQ9" s="29"/>
      <x:c r="CR9" s="29"/>
      <x:c r="CS9" s="29"/>
      <x:c r="CT9" s="29"/>
      <x:c r="CU9" s="29"/>
      <x:c r="CV9" s="29"/>
      <x:c r="CW9" s="29"/>
      <x:c r="CX9" s="29"/>
      <x:c r="CY9" s="29"/>
      <x:c r="CZ9" s="29"/>
      <x:c r="DA9" s="29"/>
      <x:c r="DB9" s="29"/>
      <x:c r="DC9" s="29"/>
      <x:c r="DD9" s="29"/>
      <x:c r="DE9" s="29"/>
      <x:c r="DF9" s="29"/>
      <x:c r="DG9" s="29"/>
      <x:c r="DH9" s="29"/>
      <x:c r="DI9" s="29"/>
    </x:row>
    <x:row r="10" s="36" customFormat="1" ht="30" customHeight="1">
      <x:c r="A10" s="84"/>
      <x:c r="B10" s="37" t="s">
        <x:v>12</x:v>
      </x:c>
      <x:c r="C10" s="38" t="s">
        <x:v>13</x:v>
      </x:c>
      <x:c r="D10" s="39">
        <x:v>1</x:v>
      </x:c>
      <x:c r="E10" s="40">
        <x:v>46258</x:v>
      </x:c>
      <x:c r="F10" s="40" t="n">
        <x:f>E10+1</x:f>
        <x:v>46259</x:v>
      </x:c>
      <x:c r="G10" s="35"/>
      <x:c r="H10" s="35">
        <x:f t="shared" si="42"/>
        <x:v>2</x:v>
      </x:c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41"/>
      <x:c r="V10" s="41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29"/>
      <x:c r="AR10" s="29"/>
      <x:c r="AS10" s="29"/>
      <x:c r="AT10" s="29"/>
      <x:c r="AU10" s="29"/>
      <x:c r="AV10" s="29"/>
      <x:c r="AW10" s="29"/>
      <x:c r="AX10" s="29"/>
      <x:c r="AY10" s="29"/>
      <x:c r="AZ10" s="29"/>
      <x:c r="BA10" s="29"/>
      <x:c r="BB10" s="29"/>
      <x:c r="BC10" s="29"/>
      <x:c r="BD10" s="29"/>
      <x:c r="BE10" s="29"/>
      <x:c r="BF10" s="29"/>
      <x:c r="BG10" s="29"/>
      <x:c r="BH10" s="29"/>
      <x:c r="BI10" s="29"/>
      <x:c r="BJ10" s="29"/>
      <x:c r="BK10" s="29"/>
      <x:c r="BL10" s="29"/>
      <x:c r="BM10" s="29"/>
      <x:c r="BN10" s="29"/>
      <x:c r="BO10" s="29"/>
      <x:c r="BP10" s="29"/>
      <x:c r="BQ10" s="29"/>
      <x:c r="BR10" s="29"/>
      <x:c r="BS10" s="29"/>
      <x:c r="BT10" s="29"/>
      <x:c r="BU10" s="29"/>
      <x:c r="BV10" s="29"/>
      <x:c r="BW10" s="29"/>
      <x:c r="BX10" s="29"/>
      <x:c r="BY10" s="29"/>
      <x:c r="BZ10" s="29"/>
      <x:c r="CA10" s="29"/>
      <x:c r="CB10" s="29"/>
      <x:c r="CC10" s="29"/>
      <x:c r="CD10" s="29"/>
      <x:c r="CE10" s="29"/>
      <x:c r="CF10" s="29"/>
      <x:c r="CG10" s="29"/>
      <x:c r="CH10" s="29"/>
      <x:c r="CI10" s="29"/>
      <x:c r="CJ10" s="29"/>
      <x:c r="CK10" s="29"/>
      <x:c r="CL10" s="29"/>
      <x:c r="CM10" s="29"/>
      <x:c r="CN10" s="29"/>
      <x:c r="CO10" s="29"/>
      <x:c r="CP10" s="29"/>
      <x:c r="CQ10" s="29"/>
      <x:c r="CR10" s="29"/>
      <x:c r="CS10" s="29"/>
      <x:c r="CT10" s="29"/>
      <x:c r="CU10" s="29"/>
      <x:c r="CV10" s="29"/>
      <x:c r="CW10" s="29"/>
      <x:c r="CX10" s="29"/>
      <x:c r="CY10" s="29"/>
      <x:c r="CZ10" s="29"/>
      <x:c r="DA10" s="29"/>
      <x:c r="DB10" s="29"/>
      <x:c r="DC10" s="29"/>
      <x:c r="DD10" s="29"/>
      <x:c r="DE10" s="29"/>
      <x:c r="DF10" s="29"/>
      <x:c r="DG10" s="29"/>
      <x:c r="DH10" s="29"/>
      <x:c r="DI10" s="29"/>
    </x:row>
    <x:row r="11" s="36" customFormat="1" ht="30" customHeight="1">
      <x:c r="A11" s="85"/>
      <x:c r="B11" s="37" t="s">
        <x:v>14</x:v>
      </x:c>
      <x:c r="C11" s="38" t="s">
        <x:v>15</x:v>
      </x:c>
      <x:c r="D11" s="39">
        <x:v>0.5</x:v>
      </x:c>
      <x:c r="E11" s="40">
        <x:v>46259</x:v>
      </x:c>
      <x:c r="F11" s="40">
        <x:v>46261</x:v>
      </x:c>
      <x:c r="G11" s="35"/>
      <x:c r="H11" s="35">
        <x:f t="shared" si="42"/>
        <x:v>3</x:v>
      </x:c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  <x:c r="AJ11" s="29"/>
      <x:c r="AK11" s="29"/>
      <x:c r="AL11" s="29"/>
      <x:c r="AM11" s="29"/>
      <x:c r="AN11" s="29"/>
      <x:c r="AO11" s="29"/>
      <x:c r="AP11" s="29"/>
      <x:c r="AQ11" s="29"/>
      <x:c r="AR11" s="29"/>
      <x:c r="AS11" s="29"/>
      <x:c r="AT11" s="29"/>
      <x:c r="AU11" s="29"/>
      <x:c r="AV11" s="29"/>
      <x:c r="AW11" s="29"/>
      <x:c r="AX11" s="29"/>
      <x:c r="AY11" s="29"/>
      <x:c r="AZ11" s="29"/>
      <x:c r="BA11" s="29"/>
      <x:c r="BB11" s="29"/>
      <x:c r="BC11" s="29"/>
      <x:c r="BD11" s="29"/>
      <x:c r="BE11" s="29"/>
      <x:c r="BF11" s="29"/>
      <x:c r="BG11" s="29"/>
      <x:c r="BH11" s="29"/>
      <x:c r="BI11" s="29"/>
      <x:c r="BJ11" s="29"/>
      <x:c r="BK11" s="29"/>
      <x:c r="BL11" s="29"/>
      <x:c r="BM11" s="29"/>
      <x:c r="BN11" s="29"/>
      <x:c r="BO11" s="29"/>
      <x:c r="BP11" s="29"/>
      <x:c r="BQ11" s="29"/>
      <x:c r="BR11" s="29"/>
      <x:c r="BS11" s="29"/>
      <x:c r="BT11" s="29"/>
      <x:c r="BU11" s="29"/>
      <x:c r="BV11" s="29"/>
      <x:c r="BW11" s="29"/>
      <x:c r="BX11" s="29"/>
      <x:c r="BY11" s="29"/>
      <x:c r="BZ11" s="29"/>
      <x:c r="CA11" s="29"/>
      <x:c r="CB11" s="29"/>
      <x:c r="CC11" s="29"/>
      <x:c r="CD11" s="29"/>
      <x:c r="CE11" s="29"/>
      <x:c r="CF11" s="29"/>
      <x:c r="CG11" s="29"/>
      <x:c r="CH11" s="29"/>
      <x:c r="CI11" s="29"/>
      <x:c r="CJ11" s="29"/>
      <x:c r="CK11" s="29"/>
      <x:c r="CL11" s="29"/>
      <x:c r="CM11" s="29"/>
      <x:c r="CN11" s="29"/>
      <x:c r="CO11" s="29"/>
      <x:c r="CP11" s="29"/>
      <x:c r="CQ11" s="29"/>
      <x:c r="CR11" s="29"/>
      <x:c r="CS11" s="29"/>
      <x:c r="CT11" s="29"/>
      <x:c r="CU11" s="29"/>
      <x:c r="CV11" s="29"/>
      <x:c r="CW11" s="29"/>
      <x:c r="CX11" s="29"/>
      <x:c r="CY11" s="29"/>
      <x:c r="CZ11" s="29"/>
      <x:c r="DA11" s="29"/>
      <x:c r="DB11" s="29"/>
      <x:c r="DC11" s="29"/>
      <x:c r="DD11" s="29"/>
      <x:c r="DE11" s="29"/>
      <x:c r="DF11" s="29"/>
      <x:c r="DG11" s="29"/>
      <x:c r="DH11" s="29"/>
      <x:c r="DI11" s="29"/>
    </x:row>
    <x:row r="12" s="36" customFormat="1" ht="30" customHeight="1">
      <x:c r="A12" s="85"/>
      <x:c r="B12" s="37" t="s">
        <x:v>16</x:v>
      </x:c>
      <x:c r="C12" s="38" t="s">
        <x:v>17</x:v>
      </x:c>
      <x:c r="D12" s="39">
        <x:v>0.5</x:v>
      </x:c>
      <x:c r="E12" s="40">
        <x:v>46259</x:v>
      </x:c>
      <x:c r="F12" s="40">
        <x:v>46261</x:v>
      </x:c>
      <x:c r="G12" s="35"/>
      <x:c r="H12" s="35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  <x:c r="AI12" s="29"/>
      <x:c r="AJ12" s="29"/>
      <x:c r="AK12" s="29"/>
      <x:c r="AL12" s="29"/>
      <x:c r="AM12" s="29"/>
      <x:c r="AN12" s="29"/>
      <x:c r="AO12" s="29"/>
      <x:c r="AP12" s="29"/>
      <x:c r="AQ12" s="29"/>
      <x:c r="AR12" s="29"/>
      <x:c r="AS12" s="29"/>
      <x:c r="AT12" s="29"/>
      <x:c r="AU12" s="29"/>
      <x:c r="AV12" s="29"/>
      <x:c r="AW12" s="29"/>
      <x:c r="AX12" s="29"/>
      <x:c r="AY12" s="29"/>
      <x:c r="AZ12" s="29"/>
      <x:c r="BA12" s="29"/>
      <x:c r="BB12" s="29"/>
      <x:c r="BC12" s="29"/>
      <x:c r="BD12" s="29"/>
      <x:c r="BE12" s="29"/>
      <x:c r="BF12" s="29"/>
      <x:c r="BG12" s="29"/>
      <x:c r="BH12" s="29"/>
      <x:c r="BI12" s="29"/>
      <x:c r="BJ12" s="29"/>
      <x:c r="BK12" s="29"/>
      <x:c r="BL12" s="29"/>
      <x:c r="BM12" s="29"/>
      <x:c r="BN12" s="29"/>
      <x:c r="BO12" s="29"/>
      <x:c r="BP12" s="29"/>
      <x:c r="BQ12" s="29"/>
      <x:c r="BR12" s="29"/>
      <x:c r="BS12" s="29"/>
      <x:c r="BT12" s="29"/>
      <x:c r="BU12" s="29"/>
      <x:c r="BV12" s="29"/>
      <x:c r="BW12" s="29"/>
      <x:c r="BX12" s="29"/>
      <x:c r="BY12" s="29"/>
      <x:c r="BZ12" s="29"/>
      <x:c r="CA12" s="29"/>
      <x:c r="CB12" s="29"/>
      <x:c r="CC12" s="29"/>
      <x:c r="CD12" s="29"/>
      <x:c r="CE12" s="29"/>
      <x:c r="CF12" s="29"/>
      <x:c r="CG12" s="29"/>
      <x:c r="CH12" s="29"/>
      <x:c r="CI12" s="29"/>
      <x:c r="CJ12" s="29"/>
      <x:c r="CK12" s="29"/>
      <x:c r="CL12" s="29"/>
      <x:c r="CM12" s="29"/>
      <x:c r="CN12" s="29"/>
      <x:c r="CO12" s="29"/>
      <x:c r="CP12" s="29"/>
      <x:c r="CQ12" s="29"/>
      <x:c r="CR12" s="29"/>
      <x:c r="CS12" s="29"/>
      <x:c r="CT12" s="29"/>
      <x:c r="CU12" s="29"/>
      <x:c r="CV12" s="29"/>
      <x:c r="CW12" s="29"/>
      <x:c r="CX12" s="29"/>
      <x:c r="CY12" s="29"/>
      <x:c r="CZ12" s="29"/>
      <x:c r="DA12" s="29"/>
      <x:c r="DB12" s="29"/>
      <x:c r="DC12" s="29"/>
      <x:c r="DD12" s="29"/>
      <x:c r="DE12" s="29"/>
      <x:c r="DF12" s="29"/>
      <x:c r="DG12" s="29"/>
      <x:c r="DH12" s="29"/>
      <x:c r="DI12" s="29"/>
    </x:row>
    <x:row r="13" s="36" customFormat="1" ht="30" customHeight="1">
      <x:c r="A13" s="85"/>
      <x:c r="B13" s="37" t="s">
        <x:v>18</x:v>
      </x:c>
      <x:c r="C13" s="38" t="s">
        <x:v>19</x:v>
      </x:c>
      <x:c r="D13" s="39">
        <x:v>0.5</x:v>
      </x:c>
      <x:c r="E13" s="40">
        <x:v>46259</x:v>
      </x:c>
      <x:c r="F13" s="40">
        <x:v>46261</x:v>
      </x:c>
      <x:c r="G13" s="35"/>
      <x:c r="H13" s="35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  <x:c r="AI13" s="29"/>
      <x:c r="AJ13" s="29"/>
      <x:c r="AK13" s="29"/>
      <x:c r="AL13" s="29"/>
      <x:c r="AM13" s="29"/>
      <x:c r="AN13" s="29"/>
      <x:c r="AO13" s="29"/>
      <x:c r="AP13" s="29"/>
      <x:c r="AQ13" s="29"/>
      <x:c r="AR13" s="29"/>
      <x:c r="AS13" s="29"/>
      <x:c r="AT13" s="29"/>
      <x:c r="AU13" s="29"/>
      <x:c r="AV13" s="29"/>
      <x:c r="AW13" s="29"/>
      <x:c r="AX13" s="29"/>
      <x:c r="AY13" s="29"/>
      <x:c r="AZ13" s="29"/>
      <x:c r="BA13" s="29"/>
      <x:c r="BB13" s="29"/>
      <x:c r="BC13" s="29"/>
      <x:c r="BD13" s="29"/>
      <x:c r="BE13" s="29"/>
      <x:c r="BF13" s="29"/>
      <x:c r="BG13" s="29"/>
      <x:c r="BH13" s="29"/>
      <x:c r="BI13" s="29"/>
      <x:c r="BJ13" s="29"/>
      <x:c r="BK13" s="29"/>
      <x:c r="BL13" s="29"/>
      <x:c r="BM13" s="29"/>
      <x:c r="BN13" s="29"/>
      <x:c r="BO13" s="29"/>
      <x:c r="BP13" s="29"/>
      <x:c r="BQ13" s="29"/>
      <x:c r="BR13" s="29"/>
      <x:c r="BS13" s="29"/>
      <x:c r="BT13" s="29"/>
      <x:c r="BU13" s="29"/>
      <x:c r="BV13" s="29"/>
      <x:c r="BW13" s="29"/>
      <x:c r="BX13" s="29"/>
      <x:c r="BY13" s="29"/>
      <x:c r="BZ13" s="29"/>
      <x:c r="CA13" s="29"/>
      <x:c r="CB13" s="29"/>
      <x:c r="CC13" s="29"/>
      <x:c r="CD13" s="29"/>
      <x:c r="CE13" s="29"/>
      <x:c r="CF13" s="29"/>
      <x:c r="CG13" s="29"/>
      <x:c r="CH13" s="29"/>
      <x:c r="CI13" s="29"/>
      <x:c r="CJ13" s="29"/>
      <x:c r="CK13" s="29"/>
      <x:c r="CL13" s="29"/>
      <x:c r="CM13" s="29"/>
      <x:c r="CN13" s="29"/>
      <x:c r="CO13" s="29"/>
      <x:c r="CP13" s="29"/>
      <x:c r="CQ13" s="29"/>
      <x:c r="CR13" s="29"/>
      <x:c r="CS13" s="29"/>
      <x:c r="CT13" s="29"/>
      <x:c r="CU13" s="29"/>
      <x:c r="CV13" s="29"/>
      <x:c r="CW13" s="29"/>
      <x:c r="CX13" s="29"/>
      <x:c r="CY13" s="29"/>
      <x:c r="CZ13" s="29"/>
      <x:c r="DA13" s="29"/>
      <x:c r="DB13" s="29"/>
      <x:c r="DC13" s="29"/>
      <x:c r="DD13" s="29"/>
      <x:c r="DE13" s="29"/>
      <x:c r="DF13" s="29"/>
      <x:c r="DG13" s="29"/>
      <x:c r="DH13" s="29"/>
      <x:c r="DI13" s="29"/>
    </x:row>
    <x:row r="14" s="36" customFormat="1" ht="30" customHeight="1">
      <x:c r="A14" s="85"/>
      <x:c r="B14" s="37" t="s">
        <x:v>20</x:v>
      </x:c>
      <x:c r="C14" s="38" t="s">
        <x:v>21</x:v>
      </x:c>
      <x:c r="D14" s="39">
        <x:v>1</x:v>
      </x:c>
      <x:c r="E14" s="40">
        <x:v>46259</x:v>
      </x:c>
      <x:c r="F14" s="40">
        <x:v>46260</x:v>
      </x:c>
      <x:c r="G14" s="35"/>
      <x:c r="H14" s="35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29"/>
      <x:c r="AR14" s="29"/>
      <x:c r="AS14" s="29"/>
      <x:c r="AT14" s="29"/>
      <x:c r="AU14" s="29"/>
      <x:c r="AV14" s="29"/>
      <x:c r="AW14" s="29"/>
      <x:c r="AX14" s="29"/>
      <x:c r="AY14" s="29"/>
      <x:c r="AZ14" s="29"/>
      <x:c r="BA14" s="29"/>
      <x:c r="BB14" s="29"/>
      <x:c r="BC14" s="29"/>
      <x:c r="BD14" s="29"/>
      <x:c r="BE14" s="29"/>
      <x:c r="BF14" s="29"/>
      <x:c r="BG14" s="29"/>
      <x:c r="BH14" s="29"/>
      <x:c r="BI14" s="29"/>
      <x:c r="BJ14" s="29"/>
      <x:c r="BK14" s="29"/>
      <x:c r="BL14" s="29"/>
      <x:c r="BM14" s="29"/>
      <x:c r="BN14" s="29"/>
      <x:c r="BO14" s="29"/>
      <x:c r="BP14" s="29"/>
      <x:c r="BQ14" s="29"/>
      <x:c r="BR14" s="29"/>
      <x:c r="BS14" s="29"/>
      <x:c r="BT14" s="29"/>
      <x:c r="BU14" s="29"/>
      <x:c r="BV14" s="29"/>
      <x:c r="BW14" s="29"/>
      <x:c r="BX14" s="29"/>
      <x:c r="BY14" s="29"/>
      <x:c r="BZ14" s="29"/>
      <x:c r="CA14" s="29"/>
      <x:c r="CB14" s="29"/>
      <x:c r="CC14" s="29"/>
      <x:c r="CD14" s="29"/>
      <x:c r="CE14" s="29"/>
      <x:c r="CF14" s="29"/>
      <x:c r="CG14" s="29"/>
      <x:c r="CH14" s="29"/>
      <x:c r="CI14" s="29"/>
      <x:c r="CJ14" s="29"/>
      <x:c r="CK14" s="29"/>
      <x:c r="CL14" s="29"/>
      <x:c r="CM14" s="29"/>
      <x:c r="CN14" s="29"/>
      <x:c r="CO14" s="29"/>
      <x:c r="CP14" s="29"/>
      <x:c r="CQ14" s="29"/>
      <x:c r="CR14" s="29"/>
      <x:c r="CS14" s="29"/>
      <x:c r="CT14" s="29"/>
      <x:c r="CU14" s="29"/>
      <x:c r="CV14" s="29"/>
      <x:c r="CW14" s="29"/>
      <x:c r="CX14" s="29"/>
      <x:c r="CY14" s="29"/>
      <x:c r="CZ14" s="29"/>
      <x:c r="DA14" s="29"/>
      <x:c r="DB14" s="29"/>
      <x:c r="DC14" s="29"/>
      <x:c r="DD14" s="29"/>
      <x:c r="DE14" s="29"/>
      <x:c r="DF14" s="29"/>
      <x:c r="DG14" s="29"/>
      <x:c r="DH14" s="29"/>
      <x:c r="DI14" s="29"/>
    </x:row>
    <x:row r="15" s="36" customFormat="1" ht="30" customHeight="1">
      <x:c r="A15" s="85"/>
      <x:c r="B15" s="37" t="s">
        <x:v>22</x:v>
      </x:c>
      <x:c r="C15" s="38" t="s">
        <x:v>23</x:v>
      </x:c>
      <x:c r="D15" s="39">
        <x:v>0</x:v>
      </x:c>
      <x:c r="E15" s="40">
        <x:v>46259</x:v>
      </x:c>
      <x:c r="F15" s="40">
        <x:v>46260</x:v>
      </x:c>
      <x:c r="G15" s="35"/>
      <x:c r="H15" s="35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  <x:c r="AH15" s="29"/>
      <x:c r="AI15" s="29"/>
      <x:c r="AJ15" s="29"/>
      <x:c r="AK15" s="29"/>
      <x:c r="AL15" s="29"/>
      <x:c r="AM15" s="29"/>
      <x:c r="AN15" s="29"/>
      <x:c r="AO15" s="29"/>
      <x:c r="AP15" s="29"/>
      <x:c r="AQ15" s="29"/>
      <x:c r="AR15" s="29"/>
      <x:c r="AS15" s="29"/>
      <x:c r="AT15" s="29"/>
      <x:c r="AU15" s="29"/>
      <x:c r="AV15" s="29"/>
      <x:c r="AW15" s="29"/>
      <x:c r="AX15" s="29"/>
      <x:c r="AY15" s="29"/>
      <x:c r="AZ15" s="29"/>
      <x:c r="BA15" s="29"/>
      <x:c r="BB15" s="29"/>
      <x:c r="BC15" s="29"/>
      <x:c r="BD15" s="29"/>
      <x:c r="BE15" s="29"/>
      <x:c r="BF15" s="29"/>
      <x:c r="BG15" s="29"/>
      <x:c r="BH15" s="29"/>
      <x:c r="BI15" s="29"/>
      <x:c r="BJ15" s="29"/>
      <x:c r="BK15" s="29"/>
      <x:c r="BL15" s="29"/>
      <x:c r="BM15" s="29"/>
      <x:c r="BN15" s="29"/>
      <x:c r="BO15" s="29"/>
      <x:c r="BP15" s="29"/>
      <x:c r="BQ15" s="29"/>
      <x:c r="BR15" s="29"/>
      <x:c r="BS15" s="29"/>
      <x:c r="BT15" s="29"/>
      <x:c r="BU15" s="29"/>
      <x:c r="BV15" s="29"/>
      <x:c r="BW15" s="29"/>
      <x:c r="BX15" s="29"/>
      <x:c r="BY15" s="29"/>
      <x:c r="BZ15" s="29"/>
      <x:c r="CA15" s="29"/>
      <x:c r="CB15" s="29"/>
      <x:c r="CC15" s="29"/>
      <x:c r="CD15" s="29"/>
      <x:c r="CE15" s="29"/>
      <x:c r="CF15" s="29"/>
      <x:c r="CG15" s="29"/>
      <x:c r="CH15" s="29"/>
      <x:c r="CI15" s="29"/>
      <x:c r="CJ15" s="29"/>
      <x:c r="CK15" s="29"/>
      <x:c r="CL15" s="29"/>
      <x:c r="CM15" s="29"/>
      <x:c r="CN15" s="29"/>
      <x:c r="CO15" s="29"/>
      <x:c r="CP15" s="29"/>
      <x:c r="CQ15" s="29"/>
      <x:c r="CR15" s="29"/>
      <x:c r="CS15" s="29"/>
      <x:c r="CT15" s="29"/>
      <x:c r="CU15" s="29"/>
      <x:c r="CV15" s="29"/>
      <x:c r="CW15" s="29"/>
      <x:c r="CX15" s="29"/>
      <x:c r="CY15" s="29"/>
      <x:c r="CZ15" s="29"/>
      <x:c r="DA15" s="29"/>
      <x:c r="DB15" s="29"/>
      <x:c r="DC15" s="29"/>
      <x:c r="DD15" s="29"/>
      <x:c r="DE15" s="29"/>
      <x:c r="DF15" s="29"/>
      <x:c r="DG15" s="29"/>
      <x:c r="DH15" s="29"/>
      <x:c r="DI15" s="29"/>
    </x:row>
    <x:row r="16" s="36" customFormat="1" ht="30" customHeight="1">
      <x:c r="A16" s="85"/>
      <x:c r="B16" s="37" t="s">
        <x:v>24</x:v>
      </x:c>
      <x:c r="C16" s="38" t="s">
        <x:v>25</x:v>
      </x:c>
      <x:c r="D16" s="39">
        <x:v>0</x:v>
      </x:c>
      <x:c r="E16" s="40">
        <x:v>46262</x:v>
      </x:c>
      <x:c r="F16" s="40">
        <x:v>46262</x:v>
      </x:c>
      <x:c r="G16" s="35"/>
      <x:c r="H16" s="35">
        <x:f t="shared" si="42"/>
        <x:v>1</x:v>
      </x:c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  <x:c r="AH16" s="29"/>
      <x:c r="AI16" s="29"/>
      <x:c r="AJ16" s="29"/>
      <x:c r="AK16" s="29"/>
      <x:c r="AL16" s="29"/>
      <x:c r="AM16" s="29"/>
      <x:c r="AN16" s="29"/>
      <x:c r="AO16" s="29"/>
      <x:c r="AP16" s="29"/>
      <x:c r="AQ16" s="29"/>
      <x:c r="AR16" s="29"/>
      <x:c r="AS16" s="29"/>
      <x:c r="AT16" s="29"/>
      <x:c r="AU16" s="29"/>
      <x:c r="AV16" s="29"/>
      <x:c r="AW16" s="29"/>
      <x:c r="AX16" s="29"/>
      <x:c r="AY16" s="29"/>
      <x:c r="AZ16" s="29"/>
      <x:c r="BA16" s="29"/>
      <x:c r="BB16" s="29"/>
      <x:c r="BC16" s="29"/>
      <x:c r="BD16" s="29"/>
      <x:c r="BE16" s="29"/>
      <x:c r="BF16" s="29"/>
      <x:c r="BG16" s="29"/>
      <x:c r="BH16" s="29"/>
      <x:c r="BI16" s="29"/>
      <x:c r="BJ16" s="29"/>
      <x:c r="BK16" s="29"/>
      <x:c r="BL16" s="29"/>
      <x:c r="BM16" s="29"/>
      <x:c r="BN16" s="29"/>
      <x:c r="BO16" s="29"/>
      <x:c r="BP16" s="29"/>
      <x:c r="BQ16" s="29"/>
      <x:c r="BR16" s="29"/>
      <x:c r="BS16" s="29"/>
      <x:c r="BT16" s="29"/>
      <x:c r="BU16" s="29"/>
      <x:c r="BV16" s="29"/>
      <x:c r="BW16" s="29"/>
      <x:c r="BX16" s="29"/>
      <x:c r="BY16" s="29"/>
      <x:c r="BZ16" s="29"/>
      <x:c r="CA16" s="29"/>
      <x:c r="CB16" s="29"/>
      <x:c r="CC16" s="29"/>
      <x:c r="CD16" s="29"/>
      <x:c r="CE16" s="29"/>
      <x:c r="CF16" s="29"/>
      <x:c r="CG16" s="29"/>
      <x:c r="CH16" s="29"/>
      <x:c r="CI16" s="29"/>
      <x:c r="CJ16" s="29"/>
      <x:c r="CK16" s="29"/>
      <x:c r="CL16" s="29"/>
      <x:c r="CM16" s="29"/>
      <x:c r="CN16" s="29"/>
      <x:c r="CO16" s="29"/>
      <x:c r="CP16" s="29"/>
      <x:c r="CQ16" s="29"/>
      <x:c r="CR16" s="29"/>
      <x:c r="CS16" s="29"/>
      <x:c r="CT16" s="29"/>
      <x:c r="CU16" s="29"/>
      <x:c r="CV16" s="29"/>
      <x:c r="CW16" s="29"/>
      <x:c r="CX16" s="29"/>
      <x:c r="CY16" s="29"/>
      <x:c r="CZ16" s="29"/>
      <x:c r="DA16" s="29"/>
      <x:c r="DB16" s="29"/>
      <x:c r="DC16" s="29"/>
      <x:c r="DD16" s="29"/>
      <x:c r="DE16" s="29"/>
      <x:c r="DF16" s="29"/>
      <x:c r="DG16" s="29"/>
      <x:c r="DH16" s="29"/>
      <x:c r="DI16" s="29"/>
    </x:row>
    <x:row r="17" s="36" customFormat="1" ht="30" customHeight="1">
      <x:c r="A17" s="84"/>
      <x:c r="B17" s="42" t="s">
        <x:v>26</x:v>
      </x:c>
      <x:c r="C17" s="43"/>
      <x:c r="D17" s="44"/>
      <x:c r="E17" s="45"/>
      <x:c r="F17" s="46"/>
      <x:c r="G17" s="35"/>
      <x:c r="H17" s="35" t="str">
        <x:f t="shared" si="42"/>
      </x:c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  <x:c r="AM17" s="29"/>
      <x:c r="AN17" s="29"/>
      <x:c r="AO17" s="29"/>
      <x:c r="AP17" s="29"/>
      <x:c r="AQ17" s="29"/>
      <x:c r="AR17" s="29"/>
      <x:c r="AS17" s="29"/>
      <x:c r="AT17" s="29"/>
      <x:c r="AU17" s="29"/>
      <x:c r="AV17" s="29"/>
      <x:c r="AW17" s="29"/>
      <x:c r="AX17" s="29"/>
      <x:c r="AY17" s="29"/>
      <x:c r="AZ17" s="29"/>
      <x:c r="BA17" s="29"/>
      <x:c r="BB17" s="29"/>
      <x:c r="BC17" s="29"/>
      <x:c r="BD17" s="29"/>
      <x:c r="BE17" s="29"/>
      <x:c r="BF17" s="29"/>
      <x:c r="BG17" s="29"/>
      <x:c r="BH17" s="29"/>
      <x:c r="BI17" s="29"/>
      <x:c r="BJ17" s="29"/>
      <x:c r="BK17" s="29"/>
      <x:c r="BL17" s="29"/>
      <x:c r="BM17" s="29"/>
      <x:c r="BN17" s="29"/>
      <x:c r="BO17" s="29"/>
      <x:c r="BP17" s="29"/>
      <x:c r="BQ17" s="29"/>
      <x:c r="BR17" s="29"/>
      <x:c r="BS17" s="29"/>
      <x:c r="BT17" s="29"/>
      <x:c r="BU17" s="29"/>
      <x:c r="BV17" s="29"/>
      <x:c r="BW17" s="29"/>
      <x:c r="BX17" s="29"/>
      <x:c r="BY17" s="29"/>
      <x:c r="BZ17" s="29"/>
      <x:c r="CA17" s="29"/>
      <x:c r="CB17" s="29"/>
      <x:c r="CC17" s="29"/>
      <x:c r="CD17" s="29"/>
      <x:c r="CE17" s="29"/>
      <x:c r="CF17" s="29"/>
      <x:c r="CG17" s="29"/>
      <x:c r="CH17" s="29"/>
      <x:c r="CI17" s="29"/>
      <x:c r="CJ17" s="29"/>
      <x:c r="CK17" s="29"/>
      <x:c r="CL17" s="29"/>
      <x:c r="CM17" s="29"/>
      <x:c r="CN17" s="29"/>
      <x:c r="CO17" s="29"/>
      <x:c r="CP17" s="29"/>
      <x:c r="CQ17" s="29"/>
      <x:c r="CR17" s="29"/>
      <x:c r="CS17" s="29"/>
      <x:c r="CT17" s="29"/>
      <x:c r="CU17" s="29"/>
      <x:c r="CV17" s="29"/>
      <x:c r="CW17" s="29"/>
      <x:c r="CX17" s="29"/>
      <x:c r="CY17" s="29"/>
      <x:c r="CZ17" s="29"/>
      <x:c r="DA17" s="29"/>
      <x:c r="DB17" s="29"/>
      <x:c r="DC17" s="29"/>
      <x:c r="DD17" s="29"/>
      <x:c r="DE17" s="29"/>
      <x:c r="DF17" s="29"/>
      <x:c r="DG17" s="29"/>
      <x:c r="DH17" s="29"/>
      <x:c r="DI17" s="29"/>
    </x:row>
    <x:row r="18" s="36" customFormat="1" ht="30" customHeight="1">
      <x:c r="A18" s="84"/>
      <x:c r="B18" s="47" t="str">
        <x:v>Definição da linguagem de programação</x:v>
      </x:c>
      <x:c r="C18" s="48" t="str">
        <x:v>Igor</x:v>
      </x:c>
      <x:c r="D18" s="49">
        <x:v>0</x:v>
      </x:c>
      <x:c r="E18" s="50">
        <x:v>46263</x:v>
      </x:c>
      <x:c r="F18" s="50">
        <x:v>46267</x:v>
      </x:c>
      <x:c r="G18" s="35"/>
      <x:c r="H18" s="35">
        <x:f t="shared" si="42"/>
        <x:v>5</x:v>
      </x:c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  <x:c r="AL18" s="29"/>
      <x:c r="AM18" s="29"/>
      <x:c r="AN18" s="29"/>
      <x:c r="AO18" s="29"/>
      <x:c r="AP18" s="29"/>
      <x:c r="AQ18" s="29"/>
      <x:c r="AR18" s="29"/>
      <x:c r="AS18" s="29"/>
      <x:c r="AT18" s="29"/>
      <x:c r="AU18" s="29"/>
      <x:c r="AV18" s="29"/>
      <x:c r="AW18" s="29"/>
      <x:c r="AX18" s="29"/>
      <x:c r="AY18" s="29"/>
      <x:c r="AZ18" s="29"/>
      <x:c r="BA18" s="29"/>
      <x:c r="BB18" s="29"/>
      <x:c r="BC18" s="29"/>
      <x:c r="BD18" s="29"/>
      <x:c r="BE18" s="29"/>
      <x:c r="BF18" s="29"/>
      <x:c r="BG18" s="29"/>
      <x:c r="BH18" s="29"/>
      <x:c r="BI18" s="29"/>
      <x:c r="BJ18" s="29"/>
      <x:c r="BK18" s="29"/>
      <x:c r="BL18" s="29"/>
      <x:c r="BM18" s="29"/>
      <x:c r="BN18" s="29"/>
      <x:c r="BO18" s="29"/>
      <x:c r="BP18" s="29"/>
      <x:c r="BQ18" s="29"/>
      <x:c r="BR18" s="29"/>
      <x:c r="BS18" s="29"/>
      <x:c r="BT18" s="29"/>
      <x:c r="BU18" s="29"/>
      <x:c r="BV18" s="29"/>
      <x:c r="BW18" s="29"/>
      <x:c r="BX18" s="29"/>
      <x:c r="BY18" s="29"/>
      <x:c r="BZ18" s="29"/>
      <x:c r="CA18" s="29"/>
      <x:c r="CB18" s="29"/>
      <x:c r="CC18" s="29"/>
      <x:c r="CD18" s="29"/>
      <x:c r="CE18" s="29"/>
      <x:c r="CF18" s="29"/>
      <x:c r="CG18" s="29"/>
      <x:c r="CH18" s="29"/>
      <x:c r="CI18" s="29"/>
      <x:c r="CJ18" s="29"/>
      <x:c r="CK18" s="29"/>
      <x:c r="CL18" s="29"/>
      <x:c r="CM18" s="29"/>
      <x:c r="CN18" s="29"/>
      <x:c r="CO18" s="29"/>
      <x:c r="CP18" s="29"/>
      <x:c r="CQ18" s="29"/>
      <x:c r="CR18" s="29"/>
      <x:c r="CS18" s="29"/>
      <x:c r="CT18" s="29"/>
      <x:c r="CU18" s="29"/>
      <x:c r="CV18" s="29"/>
      <x:c r="CW18" s="29"/>
      <x:c r="CX18" s="29"/>
      <x:c r="CY18" s="29"/>
      <x:c r="CZ18" s="29"/>
      <x:c r="DA18" s="29"/>
      <x:c r="DB18" s="29"/>
      <x:c r="DC18" s="29"/>
      <x:c r="DD18" s="29"/>
      <x:c r="DE18" s="29"/>
      <x:c r="DF18" s="29"/>
      <x:c r="DG18" s="29"/>
      <x:c r="DH18" s="29"/>
      <x:c r="DI18" s="29"/>
    </x:row>
    <x:row r="19" s="36" customFormat="1" ht="30" customHeight="1">
      <x:c r="A19" s="85"/>
      <x:c r="B19" s="47" t="str">
        <x:v>Análise exploratória da base</x:v>
      </x:c>
      <x:c r="C19" s="48" t="str">
        <x:v>Igor</x:v>
      </x:c>
      <x:c r="D19" s="49">
        <x:v>0</x:v>
      </x:c>
      <x:c r="E19" s="50">
        <x:v>46266</x:v>
      </x:c>
      <x:c r="F19" s="50">
        <x:v>46272</x:v>
      </x:c>
      <x:c r="G19" s="35"/>
      <x:c r="H19" s="35">
        <x:f t="shared" si="42"/>
        <x:v>7</x:v>
      </x:c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41"/>
      <x:c r="V19" s="41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29"/>
      <x:c r="AR19" s="29"/>
      <x:c r="AS19" s="29"/>
      <x:c r="AT19" s="29"/>
      <x:c r="AU19" s="29"/>
      <x:c r="AV19" s="29"/>
      <x:c r="AW19" s="29"/>
      <x:c r="AX19" s="29"/>
      <x:c r="AY19" s="29"/>
      <x:c r="AZ19" s="29"/>
      <x:c r="BA19" s="29"/>
      <x:c r="BB19" s="29"/>
      <x:c r="BC19" s="29"/>
      <x:c r="BD19" s="29"/>
      <x:c r="BE19" s="29"/>
      <x:c r="BF19" s="29"/>
      <x:c r="BG19" s="29"/>
      <x:c r="BH19" s="29"/>
      <x:c r="BI19" s="29"/>
      <x:c r="BJ19" s="29"/>
      <x:c r="BK19" s="29"/>
      <x:c r="BL19" s="29"/>
      <x:c r="BM19" s="29"/>
      <x:c r="BN19" s="29"/>
      <x:c r="BO19" s="29"/>
      <x:c r="BP19" s="29"/>
      <x:c r="BQ19" s="29"/>
      <x:c r="BR19" s="29"/>
      <x:c r="BS19" s="29"/>
      <x:c r="BT19" s="29"/>
      <x:c r="BU19" s="29"/>
      <x:c r="BV19" s="29"/>
      <x:c r="BW19" s="29"/>
      <x:c r="BX19" s="29"/>
      <x:c r="BY19" s="29"/>
      <x:c r="BZ19" s="29"/>
      <x:c r="CA19" s="29"/>
      <x:c r="CB19" s="29"/>
      <x:c r="CC19" s="29"/>
      <x:c r="CD19" s="29"/>
      <x:c r="CE19" s="29"/>
      <x:c r="CF19" s="29"/>
      <x:c r="CG19" s="29"/>
      <x:c r="CH19" s="29"/>
      <x:c r="CI19" s="29"/>
      <x:c r="CJ19" s="29"/>
      <x:c r="CK19" s="29"/>
      <x:c r="CL19" s="29"/>
      <x:c r="CM19" s="29"/>
      <x:c r="CN19" s="29"/>
      <x:c r="CO19" s="29"/>
      <x:c r="CP19" s="29"/>
      <x:c r="CQ19" s="29"/>
      <x:c r="CR19" s="29"/>
      <x:c r="CS19" s="29"/>
      <x:c r="CT19" s="29"/>
      <x:c r="CU19" s="29"/>
      <x:c r="CV19" s="29"/>
      <x:c r="CW19" s="29"/>
      <x:c r="CX19" s="29"/>
      <x:c r="CY19" s="29"/>
      <x:c r="CZ19" s="29"/>
      <x:c r="DA19" s="29"/>
      <x:c r="DB19" s="29"/>
      <x:c r="DC19" s="29"/>
      <x:c r="DD19" s="29"/>
      <x:c r="DE19" s="29"/>
      <x:c r="DF19" s="29"/>
      <x:c r="DG19" s="29"/>
      <x:c r="DH19" s="29"/>
      <x:c r="DI19" s="29"/>
    </x:row>
    <x:row r="20" s="36" customFormat="1" ht="30" customHeight="1">
      <x:c r="A20" s="85"/>
      <x:c r="B20" s="47" t="str">
        <x:v>Tratamento da base de dados (preparação)</x:v>
      </x:c>
      <x:c r="C20" s="48" t="str">
        <x:v>Lucas</x:v>
      </x:c>
      <x:c r="D20" s="49" t="n">
        <x:v>1</x:v>
      </x:c>
      <x:c r="E20" s="50">
        <x:v>46272</x:v>
      </x:c>
      <x:c r="F20" s="50">
        <x:v>46283</x:v>
      </x:c>
      <x:c r="G20" s="35"/>
      <x:c r="H20" s="35">
        <x:f t="shared" si="42"/>
        <x:v>12</x:v>
      </x:c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29"/>
      <x:c r="AR20" s="29"/>
      <x:c r="AS20" s="29"/>
      <x:c r="AT20" s="29"/>
      <x:c r="AU20" s="29"/>
      <x:c r="AV20" s="29"/>
      <x:c r="AW20" s="29"/>
      <x:c r="AX20" s="29"/>
      <x:c r="AY20" s="29"/>
      <x:c r="AZ20" s="29"/>
      <x:c r="BA20" s="29"/>
      <x:c r="BB20" s="29"/>
      <x:c r="BC20" s="29"/>
      <x:c r="BD20" s="29"/>
      <x:c r="BE20" s="29"/>
      <x:c r="BF20" s="29"/>
      <x:c r="BG20" s="29"/>
      <x:c r="BH20" s="29"/>
      <x:c r="BI20" s="29"/>
      <x:c r="BJ20" s="29"/>
      <x:c r="BK20" s="29"/>
      <x:c r="BL20" s="29"/>
      <x:c r="BM20" s="29"/>
      <x:c r="BN20" s="29"/>
      <x:c r="BO20" s="29"/>
      <x:c r="BP20" s="29"/>
      <x:c r="BQ20" s="29"/>
      <x:c r="BR20" s="29"/>
      <x:c r="BS20" s="29"/>
      <x:c r="BT20" s="29"/>
      <x:c r="BU20" s="29"/>
      <x:c r="BV20" s="29"/>
      <x:c r="BW20" s="29"/>
      <x:c r="BX20" s="29"/>
      <x:c r="BY20" s="29"/>
      <x:c r="BZ20" s="29"/>
      <x:c r="CA20" s="29"/>
      <x:c r="CB20" s="29"/>
      <x:c r="CC20" s="29"/>
      <x:c r="CD20" s="29"/>
      <x:c r="CE20" s="29"/>
      <x:c r="CF20" s="29"/>
      <x:c r="CG20" s="29"/>
      <x:c r="CH20" s="29"/>
      <x:c r="CI20" s="29"/>
      <x:c r="CJ20" s="29"/>
      <x:c r="CK20" s="29"/>
      <x:c r="CL20" s="29"/>
      <x:c r="CM20" s="29"/>
      <x:c r="CN20" s="29"/>
      <x:c r="CO20" s="29"/>
      <x:c r="CP20" s="29"/>
      <x:c r="CQ20" s="29"/>
      <x:c r="CR20" s="29"/>
      <x:c r="CS20" s="29"/>
      <x:c r="CT20" s="29"/>
      <x:c r="CU20" s="29"/>
      <x:c r="CV20" s="29"/>
      <x:c r="CW20" s="29"/>
      <x:c r="CX20" s="29"/>
      <x:c r="CY20" s="29"/>
      <x:c r="CZ20" s="29"/>
      <x:c r="DA20" s="29"/>
      <x:c r="DB20" s="29"/>
      <x:c r="DC20" s="29"/>
      <x:c r="DD20" s="29"/>
      <x:c r="DE20" s="29"/>
      <x:c r="DF20" s="29"/>
      <x:c r="DG20" s="29"/>
      <x:c r="DH20" s="29"/>
      <x:c r="DI20" s="29"/>
    </x:row>
    <x:row r="21" s="36" customFormat="1" ht="30" customHeight="1">
      <x:c r="A21" s="85"/>
      <x:c r="B21" s="47" t="str">
        <x:v>Tratamento da base de dados (treinamento)</x:v>
      </x:c>
      <x:c r="C21" s="48" t="str">
        <x:v>Lucas</x:v>
      </x:c>
      <x:c r="D21" s="49" t="n">
        <x:v>1</x:v>
      </x:c>
      <x:c r="E21" s="50">
        <x:v>46272</x:v>
      </x:c>
      <x:c r="F21" s="50">
        <x:v>46283</x:v>
      </x:c>
      <x:c r="G21" s="35"/>
      <x:c r="H21" s="35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29"/>
      <x:c r="AR21" s="29"/>
      <x:c r="AS21" s="29"/>
      <x:c r="AT21" s="29"/>
      <x:c r="AU21" s="29"/>
      <x:c r="AV21" s="29"/>
      <x:c r="AW21" s="29"/>
      <x:c r="AX21" s="29"/>
      <x:c r="AY21" s="29"/>
      <x:c r="AZ21" s="29"/>
      <x:c r="BA21" s="29"/>
      <x:c r="BB21" s="29"/>
      <x:c r="BC21" s="29"/>
      <x:c r="BD21" s="29"/>
      <x:c r="BE21" s="29"/>
      <x:c r="BF21" s="29"/>
      <x:c r="BG21" s="29"/>
      <x:c r="BH21" s="29"/>
      <x:c r="BI21" s="29"/>
      <x:c r="BJ21" s="29"/>
      <x:c r="BK21" s="29"/>
      <x:c r="BL21" s="29"/>
      <x:c r="BM21" s="29"/>
      <x:c r="BN21" s="29"/>
      <x:c r="BO21" s="29"/>
      <x:c r="BP21" s="29"/>
      <x:c r="BQ21" s="29"/>
      <x:c r="BR21" s="29"/>
      <x:c r="BS21" s="29"/>
      <x:c r="BT21" s="29"/>
      <x:c r="BU21" s="29"/>
      <x:c r="BV21" s="29"/>
      <x:c r="BW21" s="29"/>
      <x:c r="BX21" s="29"/>
      <x:c r="BY21" s="29"/>
      <x:c r="BZ21" s="29"/>
      <x:c r="CA21" s="29"/>
      <x:c r="CB21" s="29"/>
      <x:c r="CC21" s="29"/>
      <x:c r="CD21" s="29"/>
      <x:c r="CE21" s="29"/>
      <x:c r="CF21" s="29"/>
      <x:c r="CG21" s="29"/>
      <x:c r="CH21" s="29"/>
      <x:c r="CI21" s="29"/>
      <x:c r="CJ21" s="29"/>
      <x:c r="CK21" s="29"/>
      <x:c r="CL21" s="29"/>
      <x:c r="CM21" s="29"/>
      <x:c r="CN21" s="29"/>
      <x:c r="CO21" s="29"/>
      <x:c r="CP21" s="29"/>
      <x:c r="CQ21" s="29"/>
      <x:c r="CR21" s="29"/>
      <x:c r="CS21" s="29"/>
      <x:c r="CT21" s="29"/>
      <x:c r="CU21" s="29"/>
      <x:c r="CV21" s="29"/>
      <x:c r="CW21" s="29"/>
      <x:c r="CX21" s="29"/>
      <x:c r="CY21" s="29"/>
      <x:c r="CZ21" s="29"/>
      <x:c r="DA21" s="29"/>
      <x:c r="DB21" s="29"/>
      <x:c r="DC21" s="29"/>
      <x:c r="DD21" s="29"/>
      <x:c r="DE21" s="29"/>
      <x:c r="DF21" s="29"/>
      <x:c r="DG21" s="29"/>
      <x:c r="DH21" s="29"/>
      <x:c r="DI21" s="29"/>
    </x:row>
    <x:row r="22" s="36" customFormat="1" ht="30" customHeight="1">
      <x:c r="A22" s="85"/>
      <x:c r="B22" s="47" t="str">
        <x:v>Detalhamento das bases teóricas dos métodos</x:v>
      </x:c>
      <x:c r="C22" s="48" t="str">
        <x:v>Jaqueline</x:v>
      </x:c>
      <x:c r="D22" s="49">
        <x:v>0</x:v>
      </x:c>
      <x:c r="E22" s="50">
        <x:v>46284</x:v>
      </x:c>
      <x:c r="F22" s="50">
        <x:v>46289</x:v>
      </x:c>
      <x:c r="G22" s="35"/>
      <x:c r="H22" s="35">
        <x:f t="shared" si="42"/>
        <x:v>6</x:v>
      </x:c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41"/>
      <x:c r="Z22" s="29"/>
      <x:c r="AA22" s="29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  <x:c r="AL22" s="29"/>
      <x:c r="AM22" s="29"/>
      <x:c r="AN22" s="29"/>
      <x:c r="AO22" s="29"/>
      <x:c r="AP22" s="29"/>
      <x:c r="AQ22" s="29"/>
      <x:c r="AR22" s="29"/>
      <x:c r="AS22" s="29"/>
      <x:c r="AT22" s="29"/>
      <x:c r="AU22" s="29"/>
      <x:c r="AV22" s="29"/>
      <x:c r="AW22" s="29"/>
      <x:c r="AX22" s="29"/>
      <x:c r="AY22" s="29"/>
      <x:c r="AZ22" s="29"/>
      <x:c r="BA22" s="29"/>
      <x:c r="BB22" s="29"/>
      <x:c r="BC22" s="29"/>
      <x:c r="BD22" s="29"/>
      <x:c r="BE22" s="29"/>
      <x:c r="BF22" s="29"/>
      <x:c r="BG22" s="29"/>
      <x:c r="BH22" s="29"/>
      <x:c r="BI22" s="29"/>
      <x:c r="BJ22" s="29"/>
      <x:c r="BK22" s="29"/>
      <x:c r="BL22" s="29"/>
      <x:c r="BM22" s="29"/>
      <x:c r="BN22" s="29"/>
      <x:c r="BO22" s="29"/>
      <x:c r="BP22" s="29"/>
      <x:c r="BQ22" s="29"/>
      <x:c r="BR22" s="29"/>
      <x:c r="BS22" s="29"/>
      <x:c r="BT22" s="29"/>
      <x:c r="BU22" s="29"/>
      <x:c r="BV22" s="29"/>
      <x:c r="BW22" s="29"/>
      <x:c r="BX22" s="29"/>
      <x:c r="BY22" s="29"/>
      <x:c r="BZ22" s="29"/>
      <x:c r="CA22" s="29"/>
      <x:c r="CB22" s="29"/>
      <x:c r="CC22" s="29"/>
      <x:c r="CD22" s="29"/>
      <x:c r="CE22" s="29"/>
      <x:c r="CF22" s="29"/>
      <x:c r="CG22" s="29"/>
      <x:c r="CH22" s="29"/>
      <x:c r="CI22" s="29"/>
      <x:c r="CJ22" s="29"/>
      <x:c r="CK22" s="29"/>
      <x:c r="CL22" s="29"/>
      <x:c r="CM22" s="29"/>
      <x:c r="CN22" s="29"/>
      <x:c r="CO22" s="29"/>
      <x:c r="CP22" s="29"/>
      <x:c r="CQ22" s="29"/>
      <x:c r="CR22" s="29"/>
      <x:c r="CS22" s="29"/>
      <x:c r="CT22" s="29"/>
      <x:c r="CU22" s="29"/>
      <x:c r="CV22" s="29"/>
      <x:c r="CW22" s="29"/>
      <x:c r="CX22" s="29"/>
      <x:c r="CY22" s="29"/>
      <x:c r="CZ22" s="29"/>
      <x:c r="DA22" s="29"/>
      <x:c r="DB22" s="29"/>
      <x:c r="DC22" s="29"/>
      <x:c r="DD22" s="29"/>
      <x:c r="DE22" s="29"/>
      <x:c r="DF22" s="29"/>
      <x:c r="DG22" s="29"/>
      <x:c r="DH22" s="29"/>
      <x:c r="DI22" s="29"/>
    </x:row>
    <x:row r="23" s="36" customFormat="1" ht="30" customHeight="1">
      <x:c r="A23" s="85"/>
      <x:c r="B23" s="47" t="str">
        <x:v>Detalhamento do cálculo de acurácia</x:v>
      </x:c>
      <x:c r="C23" s="48" t="str">
        <x:v>Kayo</x:v>
      </x:c>
      <x:c r="D23" s="49">
        <x:v>0</x:v>
      </x:c>
      <x:c r="E23" s="50">
        <x:v>46284</x:v>
      </x:c>
      <x:c r="F23" s="50">
        <x:v>46289</x:v>
      </x:c>
      <x:c r="G23" s="35"/>
      <x:c r="H23" s="35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41"/>
      <x:c r="Z23" s="29"/>
      <x:c r="AA23" s="29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29"/>
      <x:c r="AR23" s="29"/>
      <x:c r="AS23" s="29"/>
      <x:c r="AT23" s="29"/>
      <x:c r="AU23" s="29"/>
      <x:c r="AV23" s="29"/>
      <x:c r="AW23" s="29"/>
      <x:c r="AX23" s="29"/>
      <x:c r="AY23" s="29"/>
      <x:c r="AZ23" s="29"/>
      <x:c r="BA23" s="29"/>
      <x:c r="BB23" s="29"/>
      <x:c r="BC23" s="29"/>
      <x:c r="BD23" s="29"/>
      <x:c r="BE23" s="29"/>
      <x:c r="BF23" s="29"/>
      <x:c r="BG23" s="29"/>
      <x:c r="BH23" s="29"/>
      <x:c r="BI23" s="29"/>
      <x:c r="BJ23" s="29"/>
      <x:c r="BK23" s="29"/>
      <x:c r="BL23" s="29"/>
      <x:c r="BM23" s="29"/>
      <x:c r="BN23" s="29"/>
      <x:c r="BO23" s="29"/>
      <x:c r="BP23" s="29"/>
      <x:c r="BQ23" s="29"/>
      <x:c r="BR23" s="29"/>
      <x:c r="BS23" s="29"/>
      <x:c r="BT23" s="29"/>
      <x:c r="BU23" s="29"/>
      <x:c r="BV23" s="29"/>
      <x:c r="BW23" s="29"/>
      <x:c r="BX23" s="29"/>
      <x:c r="BY23" s="29"/>
      <x:c r="BZ23" s="29"/>
      <x:c r="CA23" s="29"/>
      <x:c r="CB23" s="29"/>
      <x:c r="CC23" s="29"/>
      <x:c r="CD23" s="29"/>
      <x:c r="CE23" s="29"/>
      <x:c r="CF23" s="29"/>
      <x:c r="CG23" s="29"/>
      <x:c r="CH23" s="29"/>
      <x:c r="CI23" s="29"/>
      <x:c r="CJ23" s="29"/>
      <x:c r="CK23" s="29"/>
      <x:c r="CL23" s="29"/>
      <x:c r="CM23" s="29"/>
      <x:c r="CN23" s="29"/>
      <x:c r="CO23" s="29"/>
      <x:c r="CP23" s="29"/>
      <x:c r="CQ23" s="29"/>
      <x:c r="CR23" s="29"/>
      <x:c r="CS23" s="29"/>
      <x:c r="CT23" s="29"/>
      <x:c r="CU23" s="29"/>
      <x:c r="CV23" s="29"/>
      <x:c r="CW23" s="29"/>
      <x:c r="CX23" s="29"/>
      <x:c r="CY23" s="29"/>
      <x:c r="CZ23" s="29"/>
      <x:c r="DA23" s="29"/>
      <x:c r="DB23" s="29"/>
      <x:c r="DC23" s="29"/>
      <x:c r="DD23" s="29"/>
      <x:c r="DE23" s="29"/>
      <x:c r="DF23" s="29"/>
      <x:c r="DG23" s="29"/>
      <x:c r="DH23" s="29"/>
      <x:c r="DI23" s="29"/>
    </x:row>
    <x:row r="24" s="36" customFormat="1" ht="30" customHeight="1">
      <x:c r="A24" s="85"/>
      <x:c r="B24" s="47" t="s">
        <x:v>27</x:v>
      </x:c>
      <x:c r="C24" s="48" t="s">
        <x:v>28</x:v>
      </x:c>
      <x:c r="D24" s="49">
        <x:v>0</x:v>
      </x:c>
      <x:c r="E24" s="50">
        <x:v>46290</x:v>
      </x:c>
      <x:c r="F24" s="50">
        <x:v>46290</x:v>
      </x:c>
      <x:c r="G24" s="35"/>
      <x:c r="H24" s="35">
        <x:f t="shared" si="42"/>
        <x:v>1</x:v>
      </x:c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  <x:c r="AH24" s="29"/>
      <x:c r="AI24" s="29"/>
      <x:c r="AJ24" s="29"/>
      <x:c r="AK24" s="29"/>
      <x:c r="AL24" s="29"/>
      <x:c r="AM24" s="29"/>
      <x:c r="AN24" s="29"/>
      <x:c r="AO24" s="29"/>
      <x:c r="AP24" s="29"/>
      <x:c r="AQ24" s="29"/>
      <x:c r="AR24" s="29"/>
      <x:c r="AS24" s="29"/>
      <x:c r="AT24" s="29"/>
      <x:c r="AU24" s="29"/>
      <x:c r="AV24" s="29"/>
      <x:c r="AW24" s="29"/>
      <x:c r="AX24" s="29"/>
      <x:c r="AY24" s="29"/>
      <x:c r="AZ24" s="29"/>
      <x:c r="BA24" s="29"/>
      <x:c r="BB24" s="29"/>
      <x:c r="BC24" s="29"/>
      <x:c r="BD24" s="29"/>
      <x:c r="BE24" s="29"/>
      <x:c r="BF24" s="29"/>
      <x:c r="BG24" s="29"/>
      <x:c r="BH24" s="29"/>
      <x:c r="BI24" s="29"/>
      <x:c r="BJ24" s="29"/>
      <x:c r="BK24" s="29"/>
      <x:c r="BL24" s="29"/>
      <x:c r="BM24" s="29"/>
      <x:c r="BN24" s="29"/>
      <x:c r="BO24" s="29"/>
      <x:c r="BP24" s="29"/>
      <x:c r="BQ24" s="29"/>
      <x:c r="BR24" s="29"/>
      <x:c r="BS24" s="29"/>
      <x:c r="BT24" s="29"/>
      <x:c r="BU24" s="29"/>
      <x:c r="BV24" s="29"/>
      <x:c r="BW24" s="29"/>
      <x:c r="BX24" s="29"/>
      <x:c r="BY24" s="29"/>
      <x:c r="BZ24" s="29"/>
      <x:c r="CA24" s="29"/>
      <x:c r="CB24" s="29"/>
      <x:c r="CC24" s="29"/>
      <x:c r="CD24" s="29"/>
      <x:c r="CE24" s="29"/>
      <x:c r="CF24" s="29"/>
      <x:c r="CG24" s="29"/>
      <x:c r="CH24" s="29"/>
      <x:c r="CI24" s="29"/>
      <x:c r="CJ24" s="29"/>
      <x:c r="CK24" s="29"/>
      <x:c r="CL24" s="29"/>
      <x:c r="CM24" s="29"/>
      <x:c r="CN24" s="29"/>
      <x:c r="CO24" s="29"/>
      <x:c r="CP24" s="29"/>
      <x:c r="CQ24" s="29"/>
      <x:c r="CR24" s="29"/>
      <x:c r="CS24" s="29"/>
      <x:c r="CT24" s="29"/>
      <x:c r="CU24" s="29"/>
      <x:c r="CV24" s="29"/>
      <x:c r="CW24" s="29"/>
      <x:c r="CX24" s="29"/>
      <x:c r="CY24" s="29"/>
      <x:c r="CZ24" s="29"/>
      <x:c r="DA24" s="29"/>
      <x:c r="DB24" s="29"/>
      <x:c r="DC24" s="29"/>
      <x:c r="DD24" s="29"/>
      <x:c r="DE24" s="29"/>
      <x:c r="DF24" s="29"/>
      <x:c r="DG24" s="29"/>
      <x:c r="DH24" s="29"/>
      <x:c r="DI24" s="29"/>
    </x:row>
    <x:row r="25" s="36" customFormat="1" ht="30" customHeight="1">
      <x:c r="A25" s="85"/>
      <x:c r="B25" s="51" t="s">
        <x:v>29</x:v>
      </x:c>
      <x:c r="C25" s="52"/>
      <x:c r="D25" s="53"/>
      <x:c r="E25" s="54"/>
      <x:c r="F25" s="55"/>
      <x:c r="G25" s="35"/>
      <x:c r="H25" s="35" t="str">
        <x:f t="shared" si="42"/>
      </x:c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29"/>
      <x:c r="BO25" s="29"/>
      <x:c r="BP25" s="29"/>
      <x:c r="BQ25" s="29"/>
      <x:c r="BR25" s="29"/>
      <x:c r="BS25" s="29"/>
      <x:c r="BT25" s="29"/>
      <x:c r="BU25" s="29"/>
      <x:c r="BV25" s="29"/>
      <x:c r="BW25" s="29"/>
      <x:c r="BX25" s="29"/>
      <x:c r="BY25" s="29"/>
      <x:c r="BZ25" s="29"/>
      <x:c r="CA25" s="29"/>
      <x:c r="CB25" s="29"/>
      <x:c r="CC25" s="29"/>
      <x:c r="CD25" s="29"/>
      <x:c r="CE25" s="29"/>
      <x:c r="CF25" s="29"/>
      <x:c r="CG25" s="29"/>
      <x:c r="CH25" s="29"/>
      <x:c r="CI25" s="29"/>
      <x:c r="CJ25" s="29"/>
      <x:c r="CK25" s="29"/>
      <x:c r="CL25" s="29"/>
      <x:c r="CM25" s="29"/>
      <x:c r="CN25" s="29"/>
      <x:c r="CO25" s="29"/>
      <x:c r="CP25" s="29"/>
      <x:c r="CQ25" s="29"/>
      <x:c r="CR25" s="29"/>
      <x:c r="CS25" s="29"/>
      <x:c r="CT25" s="29"/>
      <x:c r="CU25" s="29"/>
      <x:c r="CV25" s="29"/>
      <x:c r="CW25" s="29"/>
      <x:c r="CX25" s="29"/>
      <x:c r="CY25" s="29"/>
      <x:c r="CZ25" s="29"/>
      <x:c r="DA25" s="29"/>
      <x:c r="DB25" s="29"/>
      <x:c r="DC25" s="29"/>
      <x:c r="DD25" s="29"/>
      <x:c r="DE25" s="29"/>
      <x:c r="DF25" s="29"/>
      <x:c r="DG25" s="29"/>
      <x:c r="DH25" s="29"/>
      <x:c r="DI25" s="29"/>
    </x:row>
    <x:row r="26" s="36" customFormat="1" ht="30" customHeight="1">
      <x:c r="A26" s="85"/>
      <x:c r="B26" s="56" t="s">
        <x:v>30</x:v>
      </x:c>
      <x:c r="C26" s="57" t="s">
        <x:v>28</x:v>
      </x:c>
      <x:c r="D26" s="58">
        <x:v>0</x:v>
      </x:c>
      <x:c r="E26" s="59">
        <x:v>46291</x:v>
      </x:c>
      <x:c r="F26" s="59">
        <x:v>46305</x:v>
      </x:c>
      <x:c r="G26" s="35"/>
      <x:c r="H26" s="35">
        <x:f t="shared" si="42"/>
        <x:v>15</x:v>
      </x:c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29"/>
      <x:c r="AN26" s="29"/>
      <x:c r="AO26" s="29"/>
      <x:c r="AP26" s="29"/>
      <x:c r="AQ26" s="29"/>
      <x:c r="AR26" s="29"/>
      <x:c r="AS26" s="29"/>
      <x:c r="AT26" s="29"/>
      <x:c r="AU26" s="29"/>
      <x:c r="AV26" s="29"/>
      <x:c r="AW26" s="29"/>
      <x:c r="AX26" s="29"/>
      <x:c r="AY26" s="29"/>
      <x:c r="AZ26" s="29"/>
      <x:c r="BA26" s="29"/>
      <x:c r="BB26" s="29"/>
      <x:c r="BC26" s="29"/>
      <x:c r="BD26" s="29"/>
      <x:c r="BE26" s="29"/>
      <x:c r="BF26" s="29"/>
      <x:c r="BG26" s="29"/>
      <x:c r="BH26" s="29"/>
      <x:c r="BI26" s="29"/>
      <x:c r="BJ26" s="29"/>
      <x:c r="BK26" s="29"/>
      <x:c r="BL26" s="29"/>
      <x:c r="BM26" s="29"/>
      <x:c r="BN26" s="29"/>
      <x:c r="BO26" s="29"/>
      <x:c r="BP26" s="29"/>
      <x:c r="BQ26" s="29"/>
      <x:c r="BR26" s="29"/>
      <x:c r="BS26" s="29"/>
      <x:c r="BT26" s="29"/>
      <x:c r="BU26" s="29"/>
      <x:c r="BV26" s="29"/>
      <x:c r="BW26" s="29"/>
      <x:c r="BX26" s="29"/>
      <x:c r="BY26" s="29"/>
      <x:c r="BZ26" s="29"/>
      <x:c r="CA26" s="29"/>
      <x:c r="CB26" s="29"/>
      <x:c r="CC26" s="29"/>
      <x:c r="CD26" s="29"/>
      <x:c r="CE26" s="29"/>
      <x:c r="CF26" s="29"/>
      <x:c r="CG26" s="29"/>
      <x:c r="CH26" s="29"/>
      <x:c r="CI26" s="29"/>
      <x:c r="CJ26" s="29"/>
      <x:c r="CK26" s="29"/>
      <x:c r="CL26" s="29"/>
      <x:c r="CM26" s="29"/>
      <x:c r="CN26" s="29"/>
      <x:c r="CO26" s="29"/>
      <x:c r="CP26" s="29"/>
      <x:c r="CQ26" s="29"/>
      <x:c r="CR26" s="29"/>
      <x:c r="CS26" s="29"/>
      <x:c r="CT26" s="29"/>
      <x:c r="CU26" s="29"/>
      <x:c r="CV26" s="29"/>
      <x:c r="CW26" s="29"/>
      <x:c r="CX26" s="29"/>
      <x:c r="CY26" s="29"/>
      <x:c r="CZ26" s="29"/>
      <x:c r="DA26" s="29"/>
      <x:c r="DB26" s="29"/>
      <x:c r="DC26" s="29"/>
      <x:c r="DD26" s="29"/>
      <x:c r="DE26" s="29"/>
      <x:c r="DF26" s="29"/>
      <x:c r="DG26" s="29"/>
      <x:c r="DH26" s="29"/>
      <x:c r="DI26" s="29"/>
    </x:row>
    <x:row r="27" s="36" customFormat="1" ht="30" customHeight="1">
      <x:c r="A27" s="85"/>
      <x:c r="B27" s="56" t="s">
        <x:v>31</x:v>
      </x:c>
      <x:c r="C27" s="57" t="s">
        <x:v>28</x:v>
      </x:c>
      <x:c r="D27" s="58">
        <x:v>0</x:v>
      </x:c>
      <x:c r="E27" s="59">
        <x:v>46306</x:v>
      </x:c>
      <x:c r="F27" s="59">
        <x:v>46314</x:v>
      </x:c>
      <x:c r="G27" s="35"/>
      <x:c r="H27" s="35">
        <x:f t="shared" si="42"/>
        <x:v>9</x:v>
      </x:c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29"/>
      <x:c r="AR27" s="29"/>
      <x:c r="AS27" s="29"/>
      <x:c r="AT27" s="29"/>
      <x:c r="AU27" s="29"/>
      <x:c r="AV27" s="29"/>
      <x:c r="AW27" s="29"/>
      <x:c r="AX27" s="29"/>
      <x:c r="AY27" s="29"/>
      <x:c r="AZ27" s="29"/>
      <x:c r="BA27" s="29"/>
      <x:c r="BB27" s="29"/>
      <x:c r="BC27" s="29"/>
      <x:c r="BD27" s="29"/>
      <x:c r="BE27" s="29"/>
      <x:c r="BF27" s="29"/>
      <x:c r="BG27" s="29"/>
      <x:c r="BH27" s="29"/>
      <x:c r="BI27" s="29"/>
      <x:c r="BJ27" s="29"/>
      <x:c r="BK27" s="29"/>
      <x:c r="BL27" s="29"/>
      <x:c r="BM27" s="29"/>
      <x:c r="BN27" s="29"/>
      <x:c r="BO27" s="29"/>
      <x:c r="BP27" s="29"/>
      <x:c r="BQ27" s="29"/>
      <x:c r="BR27" s="29"/>
      <x:c r="BS27" s="29"/>
      <x:c r="BT27" s="29"/>
      <x:c r="BU27" s="29"/>
      <x:c r="BV27" s="29"/>
      <x:c r="BW27" s="29"/>
      <x:c r="BX27" s="29"/>
      <x:c r="BY27" s="29"/>
      <x:c r="BZ27" s="29"/>
      <x:c r="CA27" s="29"/>
      <x:c r="CB27" s="29"/>
      <x:c r="CC27" s="29"/>
      <x:c r="CD27" s="29"/>
      <x:c r="CE27" s="29"/>
      <x:c r="CF27" s="29"/>
      <x:c r="CG27" s="29"/>
      <x:c r="CH27" s="29"/>
      <x:c r="CI27" s="29"/>
      <x:c r="CJ27" s="29"/>
      <x:c r="CK27" s="29"/>
      <x:c r="CL27" s="29"/>
      <x:c r="CM27" s="29"/>
      <x:c r="CN27" s="29"/>
      <x:c r="CO27" s="29"/>
      <x:c r="CP27" s="29"/>
      <x:c r="CQ27" s="29"/>
      <x:c r="CR27" s="29"/>
      <x:c r="CS27" s="29"/>
      <x:c r="CT27" s="29"/>
      <x:c r="CU27" s="29"/>
      <x:c r="CV27" s="29"/>
      <x:c r="CW27" s="29"/>
      <x:c r="CX27" s="29"/>
      <x:c r="CY27" s="29"/>
      <x:c r="CZ27" s="29"/>
      <x:c r="DA27" s="29"/>
      <x:c r="DB27" s="29"/>
      <x:c r="DC27" s="29"/>
      <x:c r="DD27" s="29"/>
      <x:c r="DE27" s="29"/>
      <x:c r="DF27" s="29"/>
      <x:c r="DG27" s="29"/>
      <x:c r="DH27" s="29"/>
      <x:c r="DI27" s="29"/>
    </x:row>
    <x:row r="28" s="36" customFormat="1" ht="30" customHeight="1">
      <x:c r="A28" s="85"/>
      <x:c r="B28" s="56" t="s">
        <x:v>32</x:v>
      </x:c>
      <x:c r="C28" s="57" t="s">
        <x:v>28</x:v>
      </x:c>
      <x:c r="D28" s="58">
        <x:v>0</x:v>
      </x:c>
      <x:c r="E28" s="59">
        <x:v>46312</x:v>
      </x:c>
      <x:c r="F28" s="59">
        <x:v>46317</x:v>
      </x:c>
      <x:c r="G28" s="35"/>
      <x:c r="H28" s="35">
        <x:f t="shared" si="42"/>
        <x:v>6</x:v>
      </x:c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  <x:c r="AH28" s="29"/>
      <x:c r="AI28" s="29"/>
      <x:c r="AJ28" s="29"/>
      <x:c r="AK28" s="29"/>
      <x:c r="AL28" s="29"/>
      <x:c r="AM28" s="29"/>
      <x:c r="AN28" s="29"/>
      <x:c r="AO28" s="29"/>
      <x:c r="AP28" s="29"/>
      <x:c r="AQ28" s="29"/>
      <x:c r="AR28" s="29"/>
      <x:c r="AS28" s="29"/>
      <x:c r="AT28" s="29"/>
      <x:c r="AU28" s="29"/>
      <x:c r="AV28" s="29"/>
      <x:c r="AW28" s="29"/>
      <x:c r="AX28" s="29"/>
      <x:c r="AY28" s="29"/>
      <x:c r="AZ28" s="29"/>
      <x:c r="BA28" s="29"/>
      <x:c r="BB28" s="29"/>
      <x:c r="BC28" s="29"/>
      <x:c r="BD28" s="29"/>
      <x:c r="BE28" s="29"/>
      <x:c r="BF28" s="29"/>
      <x:c r="BG28" s="29"/>
      <x:c r="BH28" s="29"/>
      <x:c r="BI28" s="29"/>
      <x:c r="BJ28" s="29"/>
      <x:c r="BK28" s="29"/>
      <x:c r="BL28" s="29"/>
      <x:c r="BM28" s="29"/>
      <x:c r="BN28" s="29"/>
      <x:c r="BO28" s="29"/>
      <x:c r="BP28" s="29"/>
      <x:c r="BQ28" s="29"/>
      <x:c r="BR28" s="29"/>
      <x:c r="BS28" s="29"/>
      <x:c r="BT28" s="29"/>
      <x:c r="BU28" s="29"/>
      <x:c r="BV28" s="29"/>
      <x:c r="BW28" s="29"/>
      <x:c r="BX28" s="29"/>
      <x:c r="BY28" s="29"/>
      <x:c r="BZ28" s="29"/>
      <x:c r="CA28" s="29"/>
      <x:c r="CB28" s="29"/>
      <x:c r="CC28" s="29"/>
      <x:c r="CD28" s="29"/>
      <x:c r="CE28" s="29"/>
      <x:c r="CF28" s="29"/>
      <x:c r="CG28" s="29"/>
      <x:c r="CH28" s="29"/>
      <x:c r="CI28" s="29"/>
      <x:c r="CJ28" s="29"/>
      <x:c r="CK28" s="29"/>
      <x:c r="CL28" s="29"/>
      <x:c r="CM28" s="29"/>
      <x:c r="CN28" s="29"/>
      <x:c r="CO28" s="29"/>
      <x:c r="CP28" s="29"/>
      <x:c r="CQ28" s="29"/>
      <x:c r="CR28" s="29"/>
      <x:c r="CS28" s="29"/>
      <x:c r="CT28" s="29"/>
      <x:c r="CU28" s="29"/>
      <x:c r="CV28" s="29"/>
      <x:c r="CW28" s="29"/>
      <x:c r="CX28" s="29"/>
      <x:c r="CY28" s="29"/>
      <x:c r="CZ28" s="29"/>
      <x:c r="DA28" s="29"/>
      <x:c r="DB28" s="29"/>
      <x:c r="DC28" s="29"/>
      <x:c r="DD28" s="29"/>
      <x:c r="DE28" s="29"/>
      <x:c r="DF28" s="29"/>
      <x:c r="DG28" s="29"/>
      <x:c r="DH28" s="29"/>
      <x:c r="DI28" s="29"/>
    </x:row>
    <x:row r="29" s="36" customFormat="1" ht="30" customHeight="1">
      <x:c r="A29" s="85"/>
      <x:c r="B29" s="56" t="s">
        <x:v>33</x:v>
      </x:c>
      <x:c r="C29" s="57" t="s">
        <x:v>28</x:v>
      </x:c>
      <x:c r="D29" s="58">
        <x:v>0</x:v>
      </x:c>
      <x:c r="E29" s="59">
        <x:v>46312</x:v>
      </x:c>
      <x:c r="F29" s="59">
        <x:v>46317</x:v>
      </x:c>
      <x:c r="G29" s="35"/>
      <x:c r="H29" s="35">
        <x:f t="shared" si="42"/>
        <x:v>6</x:v>
      </x:c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  <x:c r="AH29" s="29"/>
      <x:c r="AI29" s="29"/>
      <x:c r="AJ29" s="29"/>
      <x:c r="AK29" s="29"/>
      <x:c r="AL29" s="29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  <x:c r="BW29" s="29"/>
      <x:c r="BX29" s="29"/>
      <x:c r="BY29" s="29"/>
      <x:c r="BZ29" s="29"/>
      <x:c r="CA29" s="29"/>
      <x:c r="CB29" s="29"/>
      <x:c r="CC29" s="29"/>
      <x:c r="CD29" s="29"/>
      <x:c r="CE29" s="29"/>
      <x:c r="CF29" s="29"/>
      <x:c r="CG29" s="29"/>
      <x:c r="CH29" s="29"/>
      <x:c r="CI29" s="29"/>
      <x:c r="CJ29" s="29"/>
      <x:c r="CK29" s="29"/>
      <x:c r="CL29" s="29"/>
      <x:c r="CM29" s="29"/>
      <x:c r="CN29" s="29"/>
      <x:c r="CO29" s="29"/>
      <x:c r="CP29" s="29"/>
      <x:c r="CQ29" s="29"/>
      <x:c r="CR29" s="29"/>
      <x:c r="CS29" s="29"/>
      <x:c r="CT29" s="29"/>
      <x:c r="CU29" s="29"/>
      <x:c r="CV29" s="29"/>
      <x:c r="CW29" s="29"/>
      <x:c r="CX29" s="29"/>
      <x:c r="CY29" s="29"/>
      <x:c r="CZ29" s="29"/>
      <x:c r="DA29" s="29"/>
      <x:c r="DB29" s="29"/>
      <x:c r="DC29" s="29"/>
      <x:c r="DD29" s="29"/>
      <x:c r="DE29" s="29"/>
      <x:c r="DF29" s="29"/>
      <x:c r="DG29" s="29"/>
      <x:c r="DH29" s="29"/>
      <x:c r="DI29" s="29"/>
    </x:row>
    <x:row r="30" s="36" customFormat="1" ht="30" customHeight="1">
      <x:c r="A30" s="85"/>
      <x:c r="B30" s="56" t="s">
        <x:v>34</x:v>
      </x:c>
      <x:c r="C30" s="57" t="s">
        <x:v>28</x:v>
      </x:c>
      <x:c r="D30" s="58">
        <x:v>0</x:v>
      </x:c>
      <x:c r="E30" s="59">
        <x:v>46318</x:v>
      </x:c>
      <x:c r="F30" s="59">
        <x:v>46318</x:v>
      </x:c>
      <x:c r="G30" s="35"/>
      <x:c r="H30" s="35">
        <x:f t="shared" si="42"/>
        <x:v>1</x:v>
      </x:c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  <x:c r="AH30" s="29"/>
      <x:c r="AI30" s="29"/>
      <x:c r="AJ30" s="29"/>
      <x:c r="AK30" s="29"/>
      <x:c r="AL30" s="29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  <x:c r="BW30" s="29"/>
      <x:c r="BX30" s="29"/>
      <x:c r="BY30" s="29"/>
      <x:c r="BZ30" s="29"/>
      <x:c r="CA30" s="29"/>
      <x:c r="CB30" s="29"/>
      <x:c r="CC30" s="29"/>
      <x:c r="CD30" s="29"/>
      <x:c r="CE30" s="29"/>
      <x:c r="CF30" s="29"/>
      <x:c r="CG30" s="29"/>
      <x:c r="CH30" s="29"/>
      <x:c r="CI30" s="29"/>
      <x:c r="CJ30" s="29"/>
      <x:c r="CK30" s="29"/>
      <x:c r="CL30" s="29"/>
      <x:c r="CM30" s="29"/>
      <x:c r="CN30" s="29"/>
      <x:c r="CO30" s="29"/>
      <x:c r="CP30" s="29"/>
      <x:c r="CQ30" s="29"/>
      <x:c r="CR30" s="29"/>
      <x:c r="CS30" s="29"/>
      <x:c r="CT30" s="29"/>
      <x:c r="CU30" s="29"/>
      <x:c r="CV30" s="29"/>
      <x:c r="CW30" s="29"/>
      <x:c r="CX30" s="29"/>
      <x:c r="CY30" s="29"/>
      <x:c r="CZ30" s="29"/>
      <x:c r="DA30" s="29"/>
      <x:c r="DB30" s="29"/>
      <x:c r="DC30" s="29"/>
      <x:c r="DD30" s="29"/>
      <x:c r="DE30" s="29"/>
      <x:c r="DF30" s="29"/>
      <x:c r="DG30" s="29"/>
      <x:c r="DH30" s="29"/>
      <x:c r="DI30" s="29"/>
    </x:row>
    <x:row r="31" s="36" customFormat="1" ht="30" customHeight="1">
      <x:c r="A31" s="85"/>
      <x:c r="B31" s="60" t="s">
        <x:v>35</x:v>
      </x:c>
      <x:c r="C31" s="61" t="s">
        <x:v>28</x:v>
      </x:c>
      <x:c r="D31" s="62"/>
      <x:c r="E31" s="63"/>
      <x:c r="F31" s="64"/>
      <x:c r="G31" s="35"/>
      <x:c r="H31" s="35" t="str">
        <x:f t="shared" si="42"/>
      </x:c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  <x:c r="AH31" s="29"/>
      <x:c r="AI31" s="29"/>
      <x:c r="AJ31" s="29"/>
      <x:c r="AK31" s="29"/>
      <x:c r="AL31" s="29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  <x:c r="BW31" s="29"/>
      <x:c r="BX31" s="29"/>
      <x:c r="BY31" s="29"/>
      <x:c r="BZ31" s="29"/>
      <x:c r="CA31" s="29"/>
      <x:c r="CB31" s="29"/>
      <x:c r="CC31" s="29"/>
      <x:c r="CD31" s="29"/>
      <x:c r="CE31" s="29"/>
      <x:c r="CF31" s="29"/>
      <x:c r="CG31" s="29"/>
      <x:c r="CH31" s="29"/>
      <x:c r="CI31" s="29"/>
      <x:c r="CJ31" s="29"/>
      <x:c r="CK31" s="29"/>
      <x:c r="CL31" s="29"/>
      <x:c r="CM31" s="29"/>
      <x:c r="CN31" s="29"/>
      <x:c r="CO31" s="29"/>
      <x:c r="CP31" s="29"/>
      <x:c r="CQ31" s="29"/>
      <x:c r="CR31" s="29"/>
      <x:c r="CS31" s="29"/>
      <x:c r="CT31" s="29"/>
      <x:c r="CU31" s="29"/>
      <x:c r="CV31" s="29"/>
      <x:c r="CW31" s="29"/>
      <x:c r="CX31" s="29"/>
      <x:c r="CY31" s="29"/>
      <x:c r="CZ31" s="29"/>
      <x:c r="DA31" s="29"/>
      <x:c r="DB31" s="29"/>
      <x:c r="DC31" s="29"/>
      <x:c r="DD31" s="29"/>
      <x:c r="DE31" s="29"/>
      <x:c r="DF31" s="29"/>
      <x:c r="DG31" s="29"/>
      <x:c r="DH31" s="29"/>
      <x:c r="DI31" s="29"/>
    </x:row>
    <x:row r="32" s="36" customFormat="1" ht="30" customHeight="1">
      <x:c r="A32" s="85"/>
      <x:c r="B32" s="65" t="s">
        <x:v>36</x:v>
      </x:c>
      <x:c r="C32" s="66" t="s">
        <x:v>28</x:v>
      </x:c>
      <x:c r="D32" s="67">
        <x:v>0</x:v>
      </x:c>
      <x:c r="E32" s="68">
        <x:v>46319</x:v>
      </x:c>
      <x:c r="F32" s="68">
        <x:v>46333</x:v>
      </x:c>
      <x:c r="G32" s="35"/>
      <x:c r="H32" s="35">
        <x:f t="shared" si="42"/>
        <x:v>15</x:v>
      </x:c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  <x:c r="AH32" s="29"/>
      <x:c r="AI32" s="29"/>
      <x:c r="AJ32" s="29"/>
      <x:c r="AK32" s="29"/>
      <x:c r="AL32" s="29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  <x:c r="BW32" s="29"/>
      <x:c r="BX32" s="29"/>
      <x:c r="BY32" s="29"/>
      <x:c r="BZ32" s="29"/>
      <x:c r="CA32" s="29"/>
      <x:c r="CB32" s="29"/>
      <x:c r="CC32" s="29"/>
      <x:c r="CD32" s="29"/>
      <x:c r="CE32" s="29"/>
      <x:c r="CF32" s="29"/>
      <x:c r="CG32" s="29"/>
      <x:c r="CH32" s="29"/>
      <x:c r="CI32" s="29"/>
      <x:c r="CJ32" s="29"/>
      <x:c r="CK32" s="29"/>
      <x:c r="CL32" s="29"/>
      <x:c r="CM32" s="29"/>
      <x:c r="CN32" s="29"/>
      <x:c r="CO32" s="29"/>
      <x:c r="CP32" s="29"/>
      <x:c r="CQ32" s="29"/>
      <x:c r="CR32" s="29"/>
      <x:c r="CS32" s="29"/>
      <x:c r="CT32" s="29"/>
      <x:c r="CU32" s="29"/>
      <x:c r="CV32" s="29"/>
      <x:c r="CW32" s="29"/>
      <x:c r="CX32" s="29"/>
      <x:c r="CY32" s="29"/>
      <x:c r="CZ32" s="29"/>
      <x:c r="DA32" s="29"/>
      <x:c r="DB32" s="29"/>
      <x:c r="DC32" s="29"/>
      <x:c r="DD32" s="29"/>
      <x:c r="DE32" s="29"/>
      <x:c r="DF32" s="29"/>
      <x:c r="DG32" s="29"/>
      <x:c r="DH32" s="29"/>
      <x:c r="DI32" s="29"/>
    </x:row>
    <x:row r="33" s="36" customFormat="1" ht="30" customHeight="1">
      <x:c r="A33" s="85"/>
      <x:c r="B33" s="65" t="s">
        <x:v>37</x:v>
      </x:c>
      <x:c r="C33" s="66" t="s">
        <x:v>28</x:v>
      </x:c>
      <x:c r="D33" s="67">
        <x:v>0</x:v>
      </x:c>
      <x:c r="E33" s="68">
        <x:v>46328</x:v>
      </x:c>
      <x:c r="F33" s="68">
        <x:v>46340</x:v>
      </x:c>
      <x:c r="G33" s="35"/>
      <x:c r="H33" s="35">
        <x:f t="shared" si="42"/>
        <x:v>13</x:v>
      </x:c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  <x:c r="AH33" s="29"/>
      <x:c r="AI33" s="29"/>
      <x:c r="AJ33" s="29"/>
      <x:c r="AK33" s="29"/>
      <x:c r="AL33" s="29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  <x:c r="BW33" s="29"/>
      <x:c r="BX33" s="29"/>
      <x:c r="BY33" s="29"/>
      <x:c r="BZ33" s="29"/>
      <x:c r="CA33" s="29"/>
      <x:c r="CB33" s="29"/>
      <x:c r="CC33" s="29"/>
      <x:c r="CD33" s="29"/>
      <x:c r="CE33" s="29"/>
      <x:c r="CF33" s="29"/>
      <x:c r="CG33" s="29"/>
      <x:c r="CH33" s="29"/>
      <x:c r="CI33" s="29"/>
      <x:c r="CJ33" s="29"/>
      <x:c r="CK33" s="29"/>
      <x:c r="CL33" s="29"/>
      <x:c r="CM33" s="29"/>
      <x:c r="CN33" s="29"/>
      <x:c r="CO33" s="29"/>
      <x:c r="CP33" s="29"/>
      <x:c r="CQ33" s="29"/>
      <x:c r="CR33" s="29"/>
      <x:c r="CS33" s="29"/>
      <x:c r="CT33" s="29"/>
      <x:c r="CU33" s="29"/>
      <x:c r="CV33" s="29"/>
      <x:c r="CW33" s="29"/>
      <x:c r="CX33" s="29"/>
      <x:c r="CY33" s="29"/>
      <x:c r="CZ33" s="29"/>
      <x:c r="DA33" s="29"/>
      <x:c r="DB33" s="29"/>
      <x:c r="DC33" s="29"/>
      <x:c r="DD33" s="29"/>
      <x:c r="DE33" s="29"/>
      <x:c r="DF33" s="29"/>
      <x:c r="DG33" s="29"/>
      <x:c r="DH33" s="29"/>
      <x:c r="DI33" s="29"/>
    </x:row>
    <x:row r="34" s="36" customFormat="1" ht="30" customHeight="1">
      <x:c r="A34" s="85"/>
      <x:c r="B34" s="65" t="s">
        <x:v>38</x:v>
      </x:c>
      <x:c r="C34" s="66" t="s">
        <x:v>28</x:v>
      </x:c>
      <x:c r="D34" s="67">
        <x:v>0</x:v>
      </x:c>
      <x:c r="E34" s="68">
        <x:v>46337</x:v>
      </x:c>
      <x:c r="F34" s="68">
        <x:v>46345</x:v>
      </x:c>
      <x:c r="G34" s="35"/>
      <x:c r="H34" s="35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29"/>
      <x:c r="AI34" s="29"/>
      <x:c r="AJ34" s="29"/>
      <x:c r="AK34" s="29"/>
      <x:c r="AL34" s="29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  <x:c r="BW34" s="29"/>
      <x:c r="BX34" s="29"/>
      <x:c r="BY34" s="29"/>
      <x:c r="BZ34" s="29"/>
      <x:c r="CA34" s="29"/>
      <x:c r="CB34" s="29"/>
      <x:c r="CC34" s="29"/>
      <x:c r="CD34" s="29"/>
      <x:c r="CE34" s="29"/>
      <x:c r="CF34" s="29"/>
      <x:c r="CG34" s="29"/>
      <x:c r="CH34" s="29"/>
      <x:c r="CI34" s="29"/>
      <x:c r="CJ34" s="29"/>
      <x:c r="CK34" s="29"/>
      <x:c r="CL34" s="29"/>
      <x:c r="CM34" s="29"/>
      <x:c r="CN34" s="29"/>
      <x:c r="CO34" s="29"/>
      <x:c r="CP34" s="29"/>
      <x:c r="CQ34" s="29"/>
      <x:c r="CR34" s="29"/>
      <x:c r="CS34" s="29"/>
      <x:c r="CT34" s="29"/>
      <x:c r="CU34" s="29"/>
      <x:c r="CV34" s="29"/>
      <x:c r="CW34" s="29"/>
      <x:c r="CX34" s="29"/>
      <x:c r="CY34" s="29"/>
      <x:c r="CZ34" s="29"/>
      <x:c r="DA34" s="29"/>
      <x:c r="DB34" s="29"/>
      <x:c r="DC34" s="29"/>
      <x:c r="DD34" s="29"/>
      <x:c r="DE34" s="29"/>
      <x:c r="DF34" s="29"/>
      <x:c r="DG34" s="29"/>
      <x:c r="DH34" s="29"/>
      <x:c r="DI34" s="29"/>
    </x:row>
    <x:row r="35" s="36" customFormat="1" ht="30" customHeight="1">
      <x:c r="A35" s="85"/>
      <x:c r="B35" s="65" t="s">
        <x:v>39</x:v>
      </x:c>
      <x:c r="C35" s="66" t="s">
        <x:v>28</x:v>
      </x:c>
      <x:c r="D35" s="67">
        <x:v>0</x:v>
      </x:c>
      <x:c r="E35" s="68">
        <x:v>46344</x:v>
      </x:c>
      <x:c r="F35" s="68">
        <x:v>46345</x:v>
      </x:c>
      <x:c r="G35" s="35"/>
      <x:c r="H35" s="35">
        <x:f t="shared" si="42"/>
        <x:v>2</x:v>
      </x:c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  <x:c r="AH35" s="29"/>
      <x:c r="AI35" s="29"/>
      <x:c r="AJ35" s="29"/>
      <x:c r="AK35" s="29"/>
      <x:c r="AL35" s="29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  <x:c r="BW35" s="29"/>
      <x:c r="BX35" s="29"/>
      <x:c r="BY35" s="29"/>
      <x:c r="BZ35" s="29"/>
      <x:c r="CA35" s="29"/>
      <x:c r="CB35" s="29"/>
      <x:c r="CC35" s="29"/>
      <x:c r="CD35" s="29"/>
      <x:c r="CE35" s="29"/>
      <x:c r="CF35" s="29"/>
      <x:c r="CG35" s="29"/>
      <x:c r="CH35" s="29"/>
      <x:c r="CI35" s="29"/>
      <x:c r="CJ35" s="29"/>
      <x:c r="CK35" s="29"/>
      <x:c r="CL35" s="29"/>
      <x:c r="CM35" s="29"/>
      <x:c r="CN35" s="29"/>
      <x:c r="CO35" s="29"/>
      <x:c r="CP35" s="29"/>
      <x:c r="CQ35" s="29"/>
      <x:c r="CR35" s="29"/>
      <x:c r="CS35" s="29"/>
      <x:c r="CT35" s="29"/>
      <x:c r="CU35" s="29"/>
      <x:c r="CV35" s="29"/>
      <x:c r="CW35" s="29"/>
      <x:c r="CX35" s="29"/>
      <x:c r="CY35" s="29"/>
      <x:c r="CZ35" s="29"/>
      <x:c r="DA35" s="29"/>
      <x:c r="DB35" s="29"/>
      <x:c r="DC35" s="29"/>
      <x:c r="DD35" s="29"/>
      <x:c r="DE35" s="29"/>
      <x:c r="DF35" s="29"/>
      <x:c r="DG35" s="29"/>
      <x:c r="DH35" s="29"/>
      <x:c r="DI35" s="29"/>
    </x:row>
    <x:row r="36" s="36" customFormat="1" ht="30" customHeight="1">
      <x:c r="A36" s="85"/>
      <x:c r="B36" s="65" t="s">
        <x:v>40</x:v>
      </x:c>
      <x:c r="C36" s="66" t="s">
        <x:v>28</x:v>
      </x:c>
      <x:c r="D36" s="67">
        <x:v>0</x:v>
      </x:c>
      <x:c r="E36" s="68">
        <x:v>46346</x:v>
      </x:c>
      <x:c r="F36" s="68">
        <x:v>46346</x:v>
      </x:c>
      <x:c r="G36" s="35"/>
      <x:c r="H36" s="35">
        <x:f t="shared" si="42"/>
        <x:v>1</x:v>
      </x:c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  <x:c r="AH36" s="29"/>
      <x:c r="AI36" s="29"/>
      <x:c r="AJ36" s="29"/>
      <x:c r="AK36" s="29"/>
      <x:c r="AL36" s="29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  <x:c r="BW36" s="29"/>
      <x:c r="BX36" s="29"/>
      <x:c r="BY36" s="29"/>
      <x:c r="BZ36" s="29"/>
      <x:c r="CA36" s="29"/>
      <x:c r="CB36" s="29"/>
      <x:c r="CC36" s="29"/>
      <x:c r="CD36" s="29"/>
      <x:c r="CE36" s="29"/>
      <x:c r="CF36" s="29"/>
      <x:c r="CG36" s="29"/>
      <x:c r="CH36" s="29"/>
      <x:c r="CI36" s="29"/>
      <x:c r="CJ36" s="29"/>
      <x:c r="CK36" s="29"/>
      <x:c r="CL36" s="29"/>
      <x:c r="CM36" s="29"/>
      <x:c r="CN36" s="29"/>
      <x:c r="CO36" s="29"/>
      <x:c r="CP36" s="29"/>
      <x:c r="CQ36" s="29"/>
      <x:c r="CR36" s="29"/>
      <x:c r="CS36" s="29"/>
      <x:c r="CT36" s="29"/>
      <x:c r="CU36" s="29"/>
      <x:c r="CV36" s="29"/>
      <x:c r="CW36" s="29"/>
      <x:c r="CX36" s="29"/>
      <x:c r="CY36" s="29"/>
      <x:c r="CZ36" s="29"/>
      <x:c r="DA36" s="29"/>
      <x:c r="DB36" s="29"/>
      <x:c r="DC36" s="29"/>
      <x:c r="DD36" s="29"/>
      <x:c r="DE36" s="29"/>
      <x:c r="DF36" s="29"/>
      <x:c r="DG36" s="29"/>
      <x:c r="DH36" s="29"/>
      <x:c r="DI36" s="29"/>
    </x:row>
    <x:row r="37" s="36" customFormat="1" ht="30" customHeight="1">
      <x:c r="A37" s="85"/>
      <x:c r="B37" s="69"/>
      <x:c r="C37" s="70"/>
      <x:c r="D37" s="71"/>
      <x:c r="E37" s="72"/>
      <x:c r="F37" s="72"/>
      <x:c r="G37" s="35"/>
      <x:c r="H37" s="35" t="str">
        <x:f t="shared" si="42"/>
      </x:c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  <x:c r="AC37" s="29"/>
      <x:c r="AD37" s="29"/>
      <x:c r="AE37" s="29"/>
      <x:c r="AF37" s="29"/>
      <x:c r="AG37" s="29"/>
      <x:c r="AH37" s="29"/>
      <x:c r="AI37" s="29"/>
      <x:c r="AJ37" s="29"/>
      <x:c r="AK37" s="29"/>
      <x:c r="AL37" s="29"/>
      <x:c r="AM37" s="29"/>
      <x:c r="AN37" s="29"/>
      <x:c r="AO37" s="29"/>
      <x:c r="AP37" s="29"/>
      <x:c r="AQ37" s="29"/>
      <x:c r="AR37" s="29"/>
      <x:c r="AS37" s="29"/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9"/>
      <x:c r="BI37" s="29"/>
      <x:c r="BJ37" s="29"/>
      <x:c r="BK37" s="29"/>
      <x:c r="BL37" s="29"/>
      <x:c r="BM37" s="29"/>
      <x:c r="BN37" s="29"/>
      <x:c r="BO37" s="29"/>
      <x:c r="BP37" s="29"/>
      <x:c r="BQ37" s="29"/>
      <x:c r="BR37" s="29"/>
      <x:c r="BS37" s="29"/>
      <x:c r="BT37" s="29"/>
      <x:c r="BU37" s="29"/>
      <x:c r="BV37" s="29"/>
      <x:c r="BW37" s="29"/>
      <x:c r="BX37" s="29"/>
      <x:c r="BY37" s="29"/>
      <x:c r="BZ37" s="29"/>
      <x:c r="CA37" s="29"/>
      <x:c r="CB37" s="29"/>
      <x:c r="CC37" s="29"/>
      <x:c r="CD37" s="29"/>
      <x:c r="CE37" s="29"/>
      <x:c r="CF37" s="29"/>
      <x:c r="CG37" s="29"/>
      <x:c r="CH37" s="29"/>
      <x:c r="CI37" s="29"/>
      <x:c r="CJ37" s="29"/>
      <x:c r="CK37" s="29"/>
      <x:c r="CL37" s="29"/>
      <x:c r="CM37" s="29"/>
      <x:c r="CN37" s="29"/>
      <x:c r="CO37" s="29"/>
      <x:c r="CP37" s="29"/>
      <x:c r="CQ37" s="29"/>
      <x:c r="CR37" s="29"/>
      <x:c r="CS37" s="29"/>
      <x:c r="CT37" s="29"/>
      <x:c r="CU37" s="29"/>
      <x:c r="CV37" s="29"/>
      <x:c r="CW37" s="29"/>
      <x:c r="CX37" s="29"/>
      <x:c r="CY37" s="29"/>
      <x:c r="CZ37" s="29"/>
      <x:c r="DA37" s="29"/>
      <x:c r="DB37" s="29"/>
      <x:c r="DC37" s="29"/>
      <x:c r="DD37" s="29"/>
      <x:c r="DE37" s="29"/>
      <x:c r="DF37" s="29"/>
      <x:c r="DG37" s="29"/>
      <x:c r="DH37" s="29"/>
      <x:c r="DI37" s="29"/>
    </x:row>
    <x:row r="38" s="36" customFormat="1" ht="30" customHeight="1">
      <x:c r="A38" s="84"/>
      <x:c r="B38" s="73" t="s">
        <x:v>41</x:v>
      </x:c>
      <x:c r="C38" s="74"/>
      <x:c r="D38" s="75"/>
      <x:c r="E38" s="76"/>
      <x:c r="F38" s="77"/>
      <x:c r="G38" s="78"/>
      <x:c r="H38" s="78" t="str">
        <x:f t="shared" si="42"/>
      </x:c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79"/>
      <x:c r="AN38" s="79"/>
      <x:c r="AO38" s="79"/>
      <x:c r="AP38" s="79"/>
      <x:c r="AQ38" s="79"/>
      <x:c r="AR38" s="79"/>
      <x:c r="AS38" s="79"/>
      <x:c r="AT38" s="79"/>
      <x:c r="AU38" s="79"/>
      <x:c r="AV38" s="79"/>
      <x:c r="AW38" s="79"/>
      <x:c r="AX38" s="79"/>
      <x:c r="AY38" s="79"/>
      <x:c r="AZ38" s="79"/>
      <x:c r="BA38" s="79"/>
      <x:c r="BB38" s="79"/>
      <x:c r="BC38" s="79"/>
      <x:c r="BD38" s="79"/>
      <x:c r="BE38" s="79"/>
      <x:c r="BF38" s="79"/>
      <x:c r="BG38" s="79"/>
      <x:c r="BH38" s="79"/>
      <x:c r="BI38" s="79"/>
      <x:c r="BJ38" s="79"/>
      <x:c r="BK38" s="79"/>
      <x:c r="BL38" s="79"/>
      <x:c r="BM38" s="79"/>
      <x:c r="BN38" s="79"/>
      <x:c r="BO38" s="79"/>
      <x:c r="BP38" s="79"/>
      <x:c r="BQ38" s="79"/>
      <x:c r="BR38" s="79"/>
      <x:c r="BS38" s="79"/>
      <x:c r="BT38" s="79"/>
      <x:c r="BU38" s="79"/>
      <x:c r="BV38" s="79"/>
      <x:c r="BW38" s="79"/>
      <x:c r="BX38" s="79"/>
      <x:c r="BY38" s="79"/>
      <x:c r="BZ38" s="79"/>
      <x:c r="CA38" s="79"/>
      <x:c r="CB38" s="79"/>
      <x:c r="CC38" s="79"/>
      <x:c r="CD38" s="79"/>
      <x:c r="CE38" s="79"/>
      <x:c r="CF38" s="79"/>
      <x:c r="CG38" s="79"/>
      <x:c r="CH38" s="79"/>
      <x:c r="CI38" s="79"/>
      <x:c r="CJ38" s="79"/>
      <x:c r="CK38" s="79"/>
      <x:c r="CL38" s="79"/>
      <x:c r="CM38" s="79"/>
      <x:c r="CN38" s="79"/>
      <x:c r="CO38" s="79"/>
      <x:c r="CP38" s="79"/>
      <x:c r="CQ38" s="79"/>
      <x:c r="CR38" s="79"/>
      <x:c r="CS38" s="79"/>
      <x:c r="CT38" s="79"/>
      <x:c r="CU38" s="79"/>
      <x:c r="CV38" s="79"/>
      <x:c r="CW38" s="79"/>
      <x:c r="CX38" s="79"/>
      <x:c r="CY38" s="79"/>
      <x:c r="CZ38" s="79"/>
      <x:c r="DA38" s="79"/>
      <x:c r="DB38" s="79"/>
      <x:c r="DC38" s="79"/>
      <x:c r="DD38" s="79"/>
      <x:c r="DE38" s="79"/>
      <x:c r="DF38" s="79"/>
      <x:c r="DG38" s="79"/>
      <x:c r="DH38" s="79"/>
      <x:c r="DI38" s="79"/>
    </x:row>
    <x:row r="39" ht="30" customHeight="1">
      <x:c r="G39" s="80"/>
    </x:row>
    <x:row r="40" ht="30" customHeight="1">
      <x:c r="C40" s="81"/>
      <x:c r="F40" s="82"/>
    </x:row>
    <x:row r="41" ht="30" customHeight="1">
      <x:c r="C41" s="83"/>
    </x:row>
  </x:sheetData>
  <x:mergeCells>
    <x:mergeCell ref="BT4:BZ4"/>
    <x:mergeCell ref="CA4:CG4"/>
    <x:mergeCell ref="CH4:CN4"/>
    <x:mergeCell ref="CO4:CU4"/>
    <x:mergeCell ref="CV4:DB4"/>
    <x:mergeCell ref="DC4:DI4"/>
    <x:mergeCell ref="C3:D3"/>
    <x:mergeCell ref="C4:D4"/>
    <x:mergeCell ref="AK4:AQ4"/>
    <x:mergeCell ref="AR4:AX4"/>
    <x:mergeCell ref="AY4:BE4"/>
    <x:mergeCell ref="BF4:BL4"/>
    <x:mergeCell ref="E3:F3"/>
    <x:mergeCell ref="I4:O4"/>
    <x:mergeCell ref="P4:V4"/>
    <x:mergeCell ref="W4:AC4"/>
    <x:mergeCell ref="AD4:AJ4"/>
    <x:mergeCell ref="BM4:BS4"/>
  </x:mergeCells>
  <x:conditionalFormatting sqref="D7:D38">
    <x:cfRule type="dataBar" priority="35">
      <x:dataBar minLength="0" maxLength="100">
        <x:cfvo type="num" val="0"/>
        <x:cfvo type="num" val="1"/>
        <x:color theme="0" tint="-0.24998"/>
      </x:dataBar>
      <x:extLst>
        <x:ext xmlns:x14="http://schemas.microsoft.com/office/spreadsheetml/2009/9/main" uri="{B025F937-C7B1-47D3-B67F-A62EFF666E3E}">
          <x14:id>{B0389232-4C98-4A03-AD0E-39F63BAD1F53}</x14:id>
        </x:ext>
      </x:extLst>
    </x:cfRule>
  </x:conditionalFormatting>
  <x:conditionalFormatting sqref="I5:DI38">
    <x:cfRule type="expression" dxfId="2" priority="9">
      <x:formula>AND(TODAY()&gt;=I$5,TODAY()&lt;J$5)</x:formula>
    </x:cfRule>
  </x:conditionalFormatting>
  <x:conditionalFormatting sqref="I7:DI38">
    <x:cfRule type="expression" dxfId="1" priority="7">
      <x:formula>AND(início_da_tarefa&lt;=I$5,ROUNDDOWN((término_da_tarefa-início_da_tarefa+1)*progresso_da_tarefa,0)+início_da_tarefa-1&gt;=I$5)</x:formula>
    </x:cfRule>
    <x:cfRule type="expression" dxfId="0" priority="8" stopIfTrue="1">
      <x:formula>AND(término_da_tarefa&gt;=I$5,início_da_tarefa&lt;J$5)</x:formula>
    </x:cfRule>
  </x:conditionalFormatting>
  <x:dataValidations count="1">
    <x:dataValidation type="whole" operator="greaterThanOrEqual" allowBlank="1" showInputMessage="1" promptTitle="Semana de exibição" prompt="Alterar esse número rola a exibição do Gráfico de Gantt." sqref="E4">
      <x:formula1>1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5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fillColor theme="0" tint="-0.24998"/>
              <x14:negativeFillColor rgb="FFFF0000"/>
              <x14:axisColor rgb="FF000000"/>
            </x14:dataBar>
          </x14:cfRule>
          <xm:sqref>D7:D38</xm:sqref>
        </x14:conditionalFormatting>
      </x14:conditionalFormattings>
    </x:ext>
  </x:extLst>
</x:worksheet>
</file>
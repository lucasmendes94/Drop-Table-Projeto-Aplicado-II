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codeName="ThisWorkbook"/>
  <xr:revisionPtr revIDLastSave="298" documentId="8_{FF5240C3-D58F-4F38-800B-53611AE9A479}" xr6:coauthVersionLast="47" xr6:coauthVersionMax="47" xr10:uidLastSave="{C47ED809-C2D7-4CAC-8D8D-C0E19C573BDB}"/>
  <bookViews>
    <workbookView xWindow="28680" yWindow="-120" windowWidth="29040" windowHeight="15720" xr2:uid="{00000000-000D-0000-FFFF-FFFF00000000}"/>
  </bookViews>
  <sheets>
    <sheet name="CronogramaDeProjeto" sheetId="11" r:id="rId1"/>
  </sheets>
  <definedNames>
    <definedName name="hoje" localSheetId="0">TODAY()</definedName>
    <definedName name="início_da_tarefa" localSheetId="0">CronogramaDeProjeto!$E1</definedName>
    <definedName name="Início_do_projeto">CronogramaDeProjeto!$E$3</definedName>
    <definedName name="progresso_da_tarefa" localSheetId="0">CronogramaDeProjeto!$D1</definedName>
    <definedName name="Semana_de_exibição">CronogramaDeProjeto!$E$4</definedName>
    <definedName name="término_da_tarefa" localSheetId="0">CronogramaDeProjeto!$F1</definedName>
    <definedName name="_xlnm.Print_Titles" localSheetId="0">CronogramaDeProjeto!$4:$6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1" l="1"/>
  <c r="E9" i="11"/>
  <c r="H7" i="11"/>
  <c r="I5" i="11" l="1"/>
  <c r="H39" i="11"/>
  <c r="H38" i="11"/>
  <c r="H37" i="11"/>
  <c r="H36" i="11"/>
  <c r="H34" i="11"/>
  <c r="H32" i="11"/>
  <c r="H25" i="11"/>
  <c r="H17" i="11"/>
  <c r="H8" i="11"/>
  <c r="I6" i="11" l="1"/>
  <c r="H33" i="11" l="1"/>
  <c r="J5" i="11"/>
  <c r="K5" i="11" s="1"/>
  <c r="L5" i="11" s="1"/>
  <c r="M5" i="11" s="1"/>
  <c r="N5" i="11" s="1"/>
  <c r="O5" i="11" s="1"/>
  <c r="P5" i="11" s="1"/>
  <c r="I4" i="1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BF4" i="11" s="1"/>
  <c r="Z6" i="11"/>
  <c r="BF6" i="11" l="1"/>
  <c r="BG5" i="11"/>
  <c r="AA6" i="11"/>
  <c r="BG6" i="11" l="1"/>
  <c r="BH5" i="11"/>
  <c r="AB6" i="11"/>
  <c r="BI5" i="11" l="1"/>
  <c r="BH6" i="11"/>
  <c r="AC6" i="11"/>
  <c r="BJ5" i="11" l="1"/>
  <c r="BI6" i="11"/>
  <c r="AD6" i="11"/>
  <c r="BK5" i="11" l="1"/>
  <c r="BJ6" i="11"/>
  <c r="AE6" i="11"/>
  <c r="BL5" i="11" l="1"/>
  <c r="BM5" i="11" s="1"/>
  <c r="BK6" i="11"/>
  <c r="AF6" i="11"/>
  <c r="BN5" i="11" l="1"/>
  <c r="BM4" i="11"/>
  <c r="BM6" i="11"/>
  <c r="BL6" i="11"/>
  <c r="AG6" i="11"/>
  <c r="BO5" i="11" l="1"/>
  <c r="BN6" i="11"/>
  <c r="AH6" i="11"/>
  <c r="BP5" i="11" l="1"/>
  <c r="BO6" i="11"/>
  <c r="AI6" i="11"/>
  <c r="BQ5" i="11" l="1"/>
  <c r="BP6" i="11"/>
  <c r="AJ6" i="11"/>
  <c r="BR5" i="11" l="1"/>
  <c r="BQ6" i="11"/>
  <c r="AK6" i="11"/>
  <c r="BR6" i="11" l="1"/>
  <c r="BS5" i="11"/>
  <c r="AL6" i="11"/>
  <c r="BS6" i="11" l="1"/>
  <c r="BT5" i="11"/>
  <c r="AM6" i="11"/>
  <c r="BU5" i="11" l="1"/>
  <c r="BT6" i="11"/>
  <c r="BT4" i="11"/>
  <c r="AN6" i="11"/>
  <c r="BV5" i="11" l="1"/>
  <c r="BU6" i="11"/>
  <c r="AO6" i="11"/>
  <c r="BW5" i="11" l="1"/>
  <c r="BV6" i="11"/>
  <c r="AP6" i="11"/>
  <c r="BX5" i="11" l="1"/>
  <c r="BW6" i="11"/>
  <c r="AQ6" i="11"/>
  <c r="BY5" i="11" l="1"/>
  <c r="BX6" i="11"/>
  <c r="AR6" i="11"/>
  <c r="H9" i="11"/>
  <c r="BZ5" i="11" l="1"/>
  <c r="BY6" i="11"/>
  <c r="H18" i="11"/>
  <c r="H26" i="11"/>
  <c r="H29" i="11"/>
  <c r="H16" i="11"/>
  <c r="BZ6" i="11" l="1"/>
  <c r="CA5" i="11"/>
  <c r="H10" i="11"/>
  <c r="H11" i="11"/>
  <c r="CB5" i="11" l="1"/>
  <c r="CA4" i="11"/>
  <c r="CA6" i="11"/>
  <c r="H31" i="11"/>
  <c r="H30" i="11"/>
  <c r="H20" i="11"/>
  <c r="H19" i="11"/>
  <c r="CC5" i="11" l="1"/>
  <c r="CB6" i="11"/>
  <c r="H22" i="11"/>
  <c r="CD5" i="11" l="1"/>
  <c r="CC6" i="11"/>
  <c r="H24" i="11"/>
  <c r="CD6" i="11" l="1"/>
  <c r="CE5" i="11"/>
  <c r="CE6" i="11" l="1"/>
  <c r="CF5" i="11"/>
  <c r="CG5" i="11" l="1"/>
  <c r="CF6" i="11"/>
  <c r="CG6" i="11" l="1"/>
  <c r="CH5" i="11"/>
  <c r="CI5" i="11" l="1"/>
  <c r="CH4" i="11"/>
  <c r="CH6" i="11"/>
  <c r="CJ5" i="11" l="1"/>
  <c r="CI6" i="11"/>
  <c r="CK5" i="11" l="1"/>
  <c r="CJ6" i="11"/>
  <c r="CL5" i="11" l="1"/>
  <c r="CK6" i="11"/>
  <c r="CM5" i="11" l="1"/>
  <c r="CL6" i="11"/>
  <c r="CM6" i="11" l="1"/>
  <c r="CN5" i="11"/>
  <c r="CN6" i="11" l="1"/>
  <c r="CO5" i="11"/>
  <c r="CP5" i="11" l="1"/>
  <c r="CO6" i="11"/>
  <c r="CO4" i="11"/>
  <c r="CQ5" i="11" l="1"/>
  <c r="CP6" i="11"/>
  <c r="CR5" i="11" l="1"/>
  <c r="CQ6" i="11"/>
  <c r="CS5" i="11" l="1"/>
  <c r="CR6" i="11"/>
  <c r="CT5" i="11" l="1"/>
  <c r="CS6" i="11"/>
  <c r="CT6" i="11" l="1"/>
  <c r="CU5" i="11"/>
  <c r="CU6" i="11" l="1"/>
  <c r="CV5" i="11"/>
  <c r="CW5" i="11" l="1"/>
  <c r="CV6" i="11"/>
  <c r="CV4" i="11"/>
  <c r="CX5" i="11" l="1"/>
  <c r="CW6" i="11"/>
  <c r="CY5" i="11" l="1"/>
  <c r="CX6" i="11"/>
  <c r="CZ5" i="11" l="1"/>
  <c r="CY6" i="11"/>
  <c r="CZ6" i="11" l="1"/>
  <c r="DA5" i="11"/>
  <c r="DA6" i="11" l="1"/>
  <c r="DB5" i="11"/>
  <c r="DB6" i="11" l="1"/>
  <c r="DC5" i="11"/>
  <c r="DD5" i="11" l="1"/>
  <c r="DC6" i="11"/>
  <c r="DC4" i="11"/>
  <c r="DE5" i="11" l="1"/>
  <c r="DD6" i="11"/>
  <c r="DF5" i="11" l="1"/>
  <c r="DE6" i="11"/>
  <c r="DG5" i="11" l="1"/>
  <c r="DF6" i="11"/>
  <c r="DG6" i="11" l="1"/>
  <c r="DH5" i="11"/>
  <c r="DH6" i="11" l="1"/>
  <c r="DI5" i="11"/>
  <c r="DI6" i="11" s="1"/>
</calcChain>
</file>

<file path=xl/sharedStrings.xml><?xml version="1.0" encoding="utf-8"?>
<sst xmlns="http://schemas.openxmlformats.org/spreadsheetml/2006/main" count="83" uniqueCount="64">
  <si>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</si>
  <si>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da empresa na célula B2.</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</si>
  <si>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</si>
  <si>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</si>
  <si>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</si>
  <si>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</si>
  <si>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</si>
  <si>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</si>
  <si>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</si>
  <si>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</si>
  <si>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</si>
  <si>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</si>
  <si>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</si>
  <si>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</si>
  <si>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</si>
  <si>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</si>
  <si>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</si>
  <si>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</si>
  <si>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</si>
  <si>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Bloco de título de fase de exemplo</t>
  </si>
  <si>
    <t>Esta é uma linha vazia</t>
  </si>
  <si>
    <t>Esta linha marca o final do Cronograma do projeto. NÃO insira nada nessa linha. 
Insira novas linhas ACIMA desta linha para continuar a construção do cronograma de projeto.</t>
  </si>
  <si>
    <t>Insira novas linhas ACIMA desta</t>
  </si>
  <si>
    <t>Mackenzie</t>
  </si>
  <si>
    <t>Criar cronograma do projeto</t>
  </si>
  <si>
    <t>Buscar dataset</t>
  </si>
  <si>
    <t>Geral</t>
  </si>
  <si>
    <t>Jaqueline</t>
  </si>
  <si>
    <t xml:space="preserve">Escrever </t>
  </si>
  <si>
    <t>Apresentação (metadados)</t>
  </si>
  <si>
    <t>Criar diretório no GitHub</t>
  </si>
  <si>
    <t>Lucas</t>
  </si>
  <si>
    <t>Etapa 1</t>
  </si>
  <si>
    <t>Etapa 2</t>
  </si>
  <si>
    <t>Etapa 3</t>
  </si>
  <si>
    <t>Etapa 4</t>
  </si>
  <si>
    <t>-</t>
  </si>
  <si>
    <t>Entregar PDF Etapa 3</t>
  </si>
  <si>
    <t>Definição do grupo de trabalho</t>
  </si>
  <si>
    <t>Entregável Etapa 1</t>
  </si>
  <si>
    <t>Igor</t>
  </si>
  <si>
    <t>Kayo</t>
  </si>
  <si>
    <t>Detalhamento da organização</t>
  </si>
  <si>
    <t>Detalhamento da área de atuação</t>
  </si>
  <si>
    <t>Definição das bibliotecas</t>
  </si>
  <si>
    <t>Análise exploratória da base</t>
  </si>
  <si>
    <t>Tratamento da base de dados (preparação)</t>
  </si>
  <si>
    <t>Tratamento da base de dados (treinamento)</t>
  </si>
  <si>
    <t>Detalhamento das bases teóricas dos métodos</t>
  </si>
  <si>
    <t>Detalhamento do cálculo de acurácia</t>
  </si>
  <si>
    <t>Entregável Etapa 2</t>
  </si>
  <si>
    <t>Descrição dos resultados preliminares</t>
  </si>
  <si>
    <t>Esboço do Storytelling</t>
  </si>
  <si>
    <t>Relatório técnico do projeto</t>
  </si>
  <si>
    <t>Apresentação do Storytelling</t>
  </si>
  <si>
    <t>Revisão do repositório no GitHub</t>
  </si>
  <si>
    <t>Entregável Etapa 4</t>
  </si>
  <si>
    <t>Edição e publicação do vídeo</t>
  </si>
  <si>
    <t>Igor/Lucas</t>
  </si>
  <si>
    <t>Igor/Kayo</t>
  </si>
  <si>
    <t>Igor/Jaqueline</t>
  </si>
  <si>
    <t>Identificar temas recorrentes de insatisfação</t>
  </si>
  <si>
    <t>Otimizar parâmetro C da regressão logística</t>
  </si>
  <si>
    <t>Validação Operacional, calibração e limiares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</si>
</sst>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d/m/yy;@"/>
    <numFmt numFmtId="167" formatCode="ddd\,\ dd/mm/yyyy"/>
    <numFmt numFmtId="168" formatCode="d\-mmm\-yyyy"/>
    <numFmt numFmtId="169" formatCode="d"/>
  </numFmts>
  <fonts count="32"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4"/>
      <color theme="0"/>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6"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9"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0" fillId="0" borderId="0" applyNumberFormat="0" applyFill="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0" applyNumberFormat="0" applyBorder="0" applyAlignment="0" applyProtection="0"/>
    <xf numFmtId="0" fontId="24" fillId="17" borderId="11" applyNumberFormat="0" applyAlignment="0" applyProtection="0"/>
    <xf numFmtId="0" fontId="25" fillId="18" borderId="12" applyNumberFormat="0" applyAlignment="0" applyProtection="0"/>
    <xf numFmtId="0" fontId="26" fillId="18" borderId="11" applyNumberFormat="0" applyAlignment="0" applyProtection="0"/>
    <xf numFmtId="0" fontId="27" fillId="0" borderId="13" applyNumberFormat="0" applyFill="0" applyAlignment="0" applyProtection="0"/>
    <xf numFmtId="0" fontId="28" fillId="19" borderId="14" applyNumberFormat="0" applyAlignment="0" applyProtection="0"/>
    <xf numFmtId="0" fontId="29" fillId="0" borderId="0" applyNumberFormat="0" applyFill="0" applyBorder="0" applyAlignment="0" applyProtection="0"/>
    <xf numFmtId="0" fontId="9" fillId="20" borderId="15" applyNumberFormat="0" applyFont="0" applyAlignment="0" applyProtection="0"/>
    <xf numFmtId="0" fontId="30" fillId="0" borderId="0" applyNumberFormat="0" applyFill="0" applyBorder="0" applyAlignment="0" applyProtection="0"/>
    <xf numFmtId="0" fontId="6" fillId="0" borderId="16" applyNumberFormat="0" applyFill="0" applyAlignment="0" applyProtection="0"/>
    <xf numFmtId="0" fontId="16"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16"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16"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16"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16"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16"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8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6" borderId="2" xfId="11" applyFill="1">
      <alignment horizontal="center" vertical="center"/>
    </xf>
    <xf numFmtId="0" fontId="9" fillId="0" borderId="2" xfId="11">
      <alignment horizontal="center" vertical="center"/>
    </xf>
    <xf numFmtId="0" fontId="0" fillId="0" borderId="10" xfId="0" applyBorder="1"/>
    <xf numFmtId="0" fontId="17" fillId="0" borderId="0" xfId="0" applyFont="1"/>
    <xf numFmtId="0" fontId="18" fillId="0" borderId="0" xfId="1" applyFont="1" applyProtection="1">
      <alignment vertical="top"/>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3" borderId="2" xfId="10" applyFill="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9" fillId="4" borderId="2" xfId="10"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1" borderId="2" xfId="10"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10" borderId="2" xfId="10" applyFill="1">
      <alignment horizontal="center" vertical="center"/>
    </xf>
    <xf numFmtId="166" fontId="9" fillId="0" borderId="2" xfId="10">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0" fontId="9" fillId="4" borderId="2" xfId="11" quotePrefix="1" applyFill="1">
      <alignment horizontal="center" vertical="center"/>
    </xf>
    <xf numFmtId="0" fontId="9" fillId="11" borderId="2" xfId="11" quotePrefix="1" applyFill="1">
      <alignment horizontal="center" vertical="center"/>
    </xf>
    <xf numFmtId="0" fontId="9" fillId="5" borderId="2" xfId="11" quotePrefix="1" applyFill="1">
      <alignment horizontal="center" vertical="center"/>
    </xf>
    <xf numFmtId="0" fontId="9" fillId="10" borderId="2" xfId="11" quotePrefix="1" applyFill="1">
      <alignment horizontal="center" vertical="center"/>
    </xf>
    <xf numFmtId="0" fontId="13" fillId="0" borderId="0" xfId="5" applyAlignment="1">
      <alignment horizontal="left" wrapText="1"/>
    </xf>
    <xf numFmtId="0" fontId="6" fillId="0" borderId="0" xfId="7" applyFont="1" applyAlignment="1">
      <alignment vertical="top" wrapText="1"/>
    </xf>
    <xf numFmtId="0" fontId="0" fillId="0" borderId="10" xfId="0" applyBorder="1" applyAlignment="1">
      <alignment wrapText="1"/>
    </xf>
    <xf numFmtId="0" fontId="7" fillId="13" borderId="1" xfId="0" applyFont="1" applyFill="1" applyBorder="1" applyAlignment="1">
      <alignment horizontal="left" vertical="center" wrapText="1"/>
    </xf>
    <xf numFmtId="0" fontId="6" fillId="8" borderId="2" xfId="0" applyFont="1" applyFill="1" applyBorder="1" applyAlignment="1">
      <alignment horizontal="left" vertical="center" wrapText="1"/>
    </xf>
    <xf numFmtId="0" fontId="9" fillId="3" borderId="2" xfId="12" applyFill="1" applyAlignment="1">
      <alignment horizontal="left" vertical="center" wrapText="1"/>
    </xf>
    <xf numFmtId="0" fontId="6" fillId="9" borderId="2" xfId="0" applyFont="1" applyFill="1" applyBorder="1" applyAlignment="1">
      <alignment horizontal="left" vertical="center" wrapText="1"/>
    </xf>
    <xf numFmtId="0" fontId="9" fillId="4" borderId="2" xfId="12" applyFill="1" applyAlignment="1">
      <alignment horizontal="left" vertical="center" wrapText="1"/>
    </xf>
    <xf numFmtId="0" fontId="6" fillId="6" borderId="2" xfId="0" applyFont="1" applyFill="1" applyBorder="1" applyAlignment="1">
      <alignment horizontal="left" vertical="center" wrapText="1"/>
    </xf>
    <xf numFmtId="0" fontId="9" fillId="11" borderId="2" xfId="12" applyFill="1" applyAlignment="1">
      <alignment horizontal="left" vertical="center" wrapText="1"/>
    </xf>
    <xf numFmtId="0" fontId="6" fillId="5" borderId="2" xfId="0" applyFont="1" applyFill="1" applyBorder="1" applyAlignment="1">
      <alignment horizontal="left" vertical="center" wrapText="1"/>
    </xf>
    <xf numFmtId="0" fontId="9" fillId="10" borderId="2" xfId="12" applyFill="1" applyAlignment="1">
      <alignment horizontal="left" vertical="center" wrapText="1"/>
    </xf>
    <xf numFmtId="0" fontId="9" fillId="0" borderId="2" xfId="12" applyAlignment="1">
      <alignment horizontal="left" vertical="center" wrapText="1"/>
    </xf>
    <xf numFmtId="0" fontId="8" fillId="2" borderId="2" xfId="0" applyFont="1" applyFill="1" applyBorder="1" applyAlignment="1">
      <alignment horizontal="left" vertical="center" wrapText="1"/>
    </xf>
    <xf numFmtId="0" fontId="31" fillId="45" borderId="0" xfId="6" applyFont="1" applyFill="1" applyAlignment="1">
      <alignment horizontal="center" vertical="center" wrapText="1"/>
    </xf>
    <xf numFmtId="168" fontId="0" fillId="7" borderId="4" xfId="0" applyNumberFormat="1" applyFill="1" applyBorder="1" applyAlignment="1">
      <alignment horizontal="left" vertical="center" wrapText="1" indent="1"/>
    </xf>
    <xf numFmtId="168" fontId="0" fillId="7" borderId="1" xfId="0" applyNumberFormat="1" applyFill="1" applyBorder="1" applyAlignment="1">
      <alignment horizontal="left" vertical="center" wrapText="1" indent="1"/>
    </xf>
    <xf numFmtId="168" fontId="0" fillId="7" borderId="5" xfId="0" applyNumberFormat="1" applyFill="1" applyBorder="1" applyAlignment="1">
      <alignment horizontal="left" vertical="center" wrapText="1" indent="1"/>
    </xf>
    <xf numFmtId="0" fontId="9" fillId="0" borderId="0" xfId="8">
      <alignment horizontal="right" indent="1"/>
    </xf>
    <xf numFmtId="0" fontId="9" fillId="0" borderId="7" xfId="8" applyBorder="1">
      <alignment horizontal="right" indent="1"/>
    </xf>
    <xf numFmtId="167" fontId="9" fillId="0" borderId="3" xfId="9">
      <alignment horizontal="center" vertical="center"/>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I42"/>
  <sheetViews>
    <sheetView showGridLines="0" tabSelected="1" showRuler="0" zoomScale="90" zoomScaleNormal="90" zoomScaleSheetLayoutView="50" zoomScalePageLayoutView="70" workbookViewId="0">
      <pane ySplit="6" topLeftCell="A23" activePane="bottomLeft" state="frozen"/>
      <selection pane="bottomLeft" activeCell="D30" sqref="D30"/>
    </sheetView>
  </sheetViews>
  <sheetFormatPr defaultRowHeight="30" customHeight="1" x14ac:dyDescent="0.3"/>
  <cols>
    <col min="1" max="1" width="2.6640625" style="29" customWidth="1"/>
    <col min="2" max="2" width="30" style="32" customWidth="1"/>
    <col min="3" max="3" width="30.6640625" customWidth="1"/>
    <col min="4" max="4" width="10.6640625" customWidth="1"/>
    <col min="5" max="5" width="10.44140625" style="5" customWidth="1"/>
    <col min="6" max="6" width="10.44140625" customWidth="1"/>
    <col min="7" max="7" width="2.6640625" customWidth="1"/>
    <col min="8" max="8" width="6.109375" hidden="1" customWidth="1"/>
    <col min="9" max="113" width="2.5546875" customWidth="1"/>
  </cols>
  <sheetData>
    <row r="1" spans="1:113" ht="14.4" customHeight="1" x14ac:dyDescent="0.55000000000000004">
      <c r="A1" s="30" t="s">
        <v>0</v>
      </c>
      <c r="B1" s="63"/>
      <c r="C1" s="1"/>
      <c r="D1" s="2"/>
      <c r="E1" s="4"/>
      <c r="F1" s="28"/>
      <c r="H1" s="2"/>
      <c r="I1" s="39"/>
    </row>
    <row r="2" spans="1:113" ht="22.2" customHeight="1" x14ac:dyDescent="0.3">
      <c r="A2" s="29" t="s">
        <v>1</v>
      </c>
      <c r="B2" s="77" t="s">
        <v>23</v>
      </c>
      <c r="I2" s="40"/>
    </row>
    <row r="3" spans="1:113" ht="25.2" customHeight="1" x14ac:dyDescent="0.3">
      <c r="A3" s="29" t="s">
        <v>2</v>
      </c>
      <c r="B3" s="64"/>
      <c r="C3" s="81" t="s">
        <v>3</v>
      </c>
      <c r="D3" s="82"/>
      <c r="E3" s="83">
        <v>46244</v>
      </c>
      <c r="F3" s="83"/>
    </row>
    <row r="4" spans="1:113" ht="17.399999999999999" customHeight="1" x14ac:dyDescent="0.3">
      <c r="A4" s="30" t="s">
        <v>4</v>
      </c>
      <c r="C4" s="81" t="s">
        <v>5</v>
      </c>
      <c r="D4" s="82"/>
      <c r="E4" s="7">
        <v>1</v>
      </c>
      <c r="I4" s="78">
        <f>I5</f>
        <v>46244</v>
      </c>
      <c r="J4" s="79"/>
      <c r="K4" s="79"/>
      <c r="L4" s="79"/>
      <c r="M4" s="79"/>
      <c r="N4" s="79"/>
      <c r="O4" s="80"/>
      <c r="P4" s="78">
        <f>P5</f>
        <v>46251</v>
      </c>
      <c r="Q4" s="79"/>
      <c r="R4" s="79"/>
      <c r="S4" s="79"/>
      <c r="T4" s="79"/>
      <c r="U4" s="79"/>
      <c r="V4" s="80"/>
      <c r="W4" s="78">
        <f>W5</f>
        <v>46258</v>
      </c>
      <c r="X4" s="79"/>
      <c r="Y4" s="79"/>
      <c r="Z4" s="79"/>
      <c r="AA4" s="79"/>
      <c r="AB4" s="79"/>
      <c r="AC4" s="80"/>
      <c r="AD4" s="78">
        <f>AD5</f>
        <v>46265</v>
      </c>
      <c r="AE4" s="79"/>
      <c r="AF4" s="79"/>
      <c r="AG4" s="79"/>
      <c r="AH4" s="79"/>
      <c r="AI4" s="79"/>
      <c r="AJ4" s="80"/>
      <c r="AK4" s="78">
        <f>AK5</f>
        <v>46272</v>
      </c>
      <c r="AL4" s="79"/>
      <c r="AM4" s="79"/>
      <c r="AN4" s="79"/>
      <c r="AO4" s="79"/>
      <c r="AP4" s="79"/>
      <c r="AQ4" s="80"/>
      <c r="AR4" s="78">
        <f>AR5</f>
        <v>46279</v>
      </c>
      <c r="AS4" s="79"/>
      <c r="AT4" s="79"/>
      <c r="AU4" s="79"/>
      <c r="AV4" s="79"/>
      <c r="AW4" s="79"/>
      <c r="AX4" s="80"/>
      <c r="AY4" s="78">
        <f>AY5</f>
        <v>46286</v>
      </c>
      <c r="AZ4" s="79"/>
      <c r="BA4" s="79"/>
      <c r="BB4" s="79"/>
      <c r="BC4" s="79"/>
      <c r="BD4" s="79"/>
      <c r="BE4" s="80"/>
      <c r="BF4" s="78">
        <f>BF5</f>
        <v>46293</v>
      </c>
      <c r="BG4" s="79"/>
      <c r="BH4" s="79"/>
      <c r="BI4" s="79"/>
      <c r="BJ4" s="79"/>
      <c r="BK4" s="79"/>
      <c r="BL4" s="80"/>
      <c r="BM4" s="78">
        <f>BM5</f>
        <v>46300</v>
      </c>
      <c r="BN4" s="79"/>
      <c r="BO4" s="79"/>
      <c r="BP4" s="79"/>
      <c r="BQ4" s="79"/>
      <c r="BR4" s="79"/>
      <c r="BS4" s="80"/>
      <c r="BT4" s="78">
        <f>BT5</f>
        <v>46307</v>
      </c>
      <c r="BU4" s="79"/>
      <c r="BV4" s="79"/>
      <c r="BW4" s="79"/>
      <c r="BX4" s="79"/>
      <c r="BY4" s="79"/>
      <c r="BZ4" s="80"/>
      <c r="CA4" s="78">
        <f>CA5</f>
        <v>46314</v>
      </c>
      <c r="CB4" s="79"/>
      <c r="CC4" s="79"/>
      <c r="CD4" s="79"/>
      <c r="CE4" s="79"/>
      <c r="CF4" s="79"/>
      <c r="CG4" s="80"/>
      <c r="CH4" s="78">
        <f>CH5</f>
        <v>46321</v>
      </c>
      <c r="CI4" s="79"/>
      <c r="CJ4" s="79"/>
      <c r="CK4" s="79"/>
      <c r="CL4" s="79"/>
      <c r="CM4" s="79"/>
      <c r="CN4" s="80"/>
      <c r="CO4" s="78">
        <f>CO5</f>
        <v>46328</v>
      </c>
      <c r="CP4" s="79"/>
      <c r="CQ4" s="79"/>
      <c r="CR4" s="79"/>
      <c r="CS4" s="79"/>
      <c r="CT4" s="79"/>
      <c r="CU4" s="80"/>
      <c r="CV4" s="78">
        <f>CV5</f>
        <v>46335</v>
      </c>
      <c r="CW4" s="79"/>
      <c r="CX4" s="79"/>
      <c r="CY4" s="79"/>
      <c r="CZ4" s="79"/>
      <c r="DA4" s="79"/>
      <c r="DB4" s="80"/>
      <c r="DC4" s="78">
        <f>DC5</f>
        <v>46342</v>
      </c>
      <c r="DD4" s="79"/>
      <c r="DE4" s="79"/>
      <c r="DF4" s="79"/>
      <c r="DG4" s="79"/>
      <c r="DH4" s="79"/>
      <c r="DI4" s="80"/>
    </row>
    <row r="5" spans="1:113" ht="15" customHeight="1" x14ac:dyDescent="0.3">
      <c r="A5" s="30" t="s">
        <v>6</v>
      </c>
      <c r="B5" s="65"/>
      <c r="C5" s="38"/>
      <c r="D5" s="38"/>
      <c r="E5" s="38"/>
      <c r="F5" s="38"/>
      <c r="G5" s="38"/>
      <c r="I5" s="56">
        <f>Início_do_projeto-WEEKDAY(Início_do_projeto,1)+2+7*(Semana_de_exibição-1)</f>
        <v>46244</v>
      </c>
      <c r="J5" s="57">
        <f>I5+1</f>
        <v>46245</v>
      </c>
      <c r="K5" s="57">
        <f t="shared" ref="K5:AX5" si="0">J5+1</f>
        <v>46246</v>
      </c>
      <c r="L5" s="57">
        <f t="shared" si="0"/>
        <v>46247</v>
      </c>
      <c r="M5" s="57">
        <f t="shared" si="0"/>
        <v>46248</v>
      </c>
      <c r="N5" s="57">
        <f t="shared" si="0"/>
        <v>46249</v>
      </c>
      <c r="O5" s="58">
        <f t="shared" si="0"/>
        <v>46250</v>
      </c>
      <c r="P5" s="56">
        <f>O5+1</f>
        <v>46251</v>
      </c>
      <c r="Q5" s="57">
        <f>P5+1</f>
        <v>46252</v>
      </c>
      <c r="R5" s="57">
        <f t="shared" si="0"/>
        <v>46253</v>
      </c>
      <c r="S5" s="57">
        <f t="shared" si="0"/>
        <v>46254</v>
      </c>
      <c r="T5" s="57">
        <f t="shared" si="0"/>
        <v>46255</v>
      </c>
      <c r="U5" s="57">
        <f t="shared" si="0"/>
        <v>46256</v>
      </c>
      <c r="V5" s="58">
        <f t="shared" si="0"/>
        <v>46257</v>
      </c>
      <c r="W5" s="56">
        <f>V5+1</f>
        <v>46258</v>
      </c>
      <c r="X5" s="57">
        <f>W5+1</f>
        <v>46259</v>
      </c>
      <c r="Y5" s="57">
        <f t="shared" si="0"/>
        <v>46260</v>
      </c>
      <c r="Z5" s="57">
        <f t="shared" si="0"/>
        <v>46261</v>
      </c>
      <c r="AA5" s="57">
        <f t="shared" si="0"/>
        <v>46262</v>
      </c>
      <c r="AB5" s="57">
        <f t="shared" si="0"/>
        <v>46263</v>
      </c>
      <c r="AC5" s="58">
        <f t="shared" si="0"/>
        <v>46264</v>
      </c>
      <c r="AD5" s="56">
        <f>AC5+1</f>
        <v>46265</v>
      </c>
      <c r="AE5" s="57">
        <f>AD5+1</f>
        <v>46266</v>
      </c>
      <c r="AF5" s="57">
        <f t="shared" si="0"/>
        <v>46267</v>
      </c>
      <c r="AG5" s="57">
        <f t="shared" si="0"/>
        <v>46268</v>
      </c>
      <c r="AH5" s="57">
        <f t="shared" si="0"/>
        <v>46269</v>
      </c>
      <c r="AI5" s="57">
        <f t="shared" si="0"/>
        <v>46270</v>
      </c>
      <c r="AJ5" s="58">
        <f t="shared" si="0"/>
        <v>46271</v>
      </c>
      <c r="AK5" s="56">
        <f>AJ5+1</f>
        <v>46272</v>
      </c>
      <c r="AL5" s="57">
        <f>AK5+1</f>
        <v>46273</v>
      </c>
      <c r="AM5" s="57">
        <f t="shared" si="0"/>
        <v>46274</v>
      </c>
      <c r="AN5" s="57">
        <f t="shared" si="0"/>
        <v>46275</v>
      </c>
      <c r="AO5" s="57">
        <f t="shared" si="0"/>
        <v>46276</v>
      </c>
      <c r="AP5" s="57">
        <f t="shared" si="0"/>
        <v>46277</v>
      </c>
      <c r="AQ5" s="58">
        <f t="shared" si="0"/>
        <v>46278</v>
      </c>
      <c r="AR5" s="56">
        <f>AQ5+1</f>
        <v>46279</v>
      </c>
      <c r="AS5" s="57">
        <f>AR5+1</f>
        <v>46280</v>
      </c>
      <c r="AT5" s="57">
        <f t="shared" si="0"/>
        <v>46281</v>
      </c>
      <c r="AU5" s="57">
        <f t="shared" si="0"/>
        <v>46282</v>
      </c>
      <c r="AV5" s="57">
        <f t="shared" si="0"/>
        <v>46283</v>
      </c>
      <c r="AW5" s="57">
        <f t="shared" si="0"/>
        <v>46284</v>
      </c>
      <c r="AX5" s="58">
        <f t="shared" si="0"/>
        <v>46285</v>
      </c>
      <c r="AY5" s="56">
        <f>AX5+1</f>
        <v>46286</v>
      </c>
      <c r="AZ5" s="57">
        <f>AY5+1</f>
        <v>46287</v>
      </c>
      <c r="BA5" s="57">
        <f t="shared" ref="BA5:BE5" si="1">AZ5+1</f>
        <v>46288</v>
      </c>
      <c r="BB5" s="57">
        <f t="shared" si="1"/>
        <v>46289</v>
      </c>
      <c r="BC5" s="57">
        <f t="shared" si="1"/>
        <v>46290</v>
      </c>
      <c r="BD5" s="57">
        <f t="shared" si="1"/>
        <v>46291</v>
      </c>
      <c r="BE5" s="58">
        <f t="shared" si="1"/>
        <v>46292</v>
      </c>
      <c r="BF5" s="56">
        <f>BE5+1</f>
        <v>46293</v>
      </c>
      <c r="BG5" s="57">
        <f>BF5+1</f>
        <v>46294</v>
      </c>
      <c r="BH5" s="57">
        <f t="shared" ref="BH5:BL5" si="2">BG5+1</f>
        <v>46295</v>
      </c>
      <c r="BI5" s="57">
        <f t="shared" si="2"/>
        <v>46296</v>
      </c>
      <c r="BJ5" s="57">
        <f t="shared" si="2"/>
        <v>46297</v>
      </c>
      <c r="BK5" s="57">
        <f t="shared" si="2"/>
        <v>46298</v>
      </c>
      <c r="BL5" s="58">
        <f t="shared" si="2"/>
        <v>46299</v>
      </c>
      <c r="BM5" s="56">
        <f>BL5+1</f>
        <v>46300</v>
      </c>
      <c r="BN5" s="57">
        <f>BM5+1</f>
        <v>46301</v>
      </c>
      <c r="BO5" s="57">
        <f t="shared" ref="BO5" si="3">BN5+1</f>
        <v>46302</v>
      </c>
      <c r="BP5" s="57">
        <f t="shared" ref="BP5" si="4">BO5+1</f>
        <v>46303</v>
      </c>
      <c r="BQ5" s="57">
        <f t="shared" ref="BQ5" si="5">BP5+1</f>
        <v>46304</v>
      </c>
      <c r="BR5" s="57">
        <f t="shared" ref="BR5" si="6">BQ5+1</f>
        <v>46305</v>
      </c>
      <c r="BS5" s="58">
        <f t="shared" ref="BS5" si="7">BR5+1</f>
        <v>46306</v>
      </c>
      <c r="BT5" s="56">
        <f>BS5+1</f>
        <v>46307</v>
      </c>
      <c r="BU5" s="57">
        <f>BT5+1</f>
        <v>46308</v>
      </c>
      <c r="BV5" s="57">
        <f t="shared" ref="BV5" si="8">BU5+1</f>
        <v>46309</v>
      </c>
      <c r="BW5" s="57">
        <f t="shared" ref="BW5" si="9">BV5+1</f>
        <v>46310</v>
      </c>
      <c r="BX5" s="57">
        <f t="shared" ref="BX5" si="10">BW5+1</f>
        <v>46311</v>
      </c>
      <c r="BY5" s="57">
        <f t="shared" ref="BY5" si="11">BX5+1</f>
        <v>46312</v>
      </c>
      <c r="BZ5" s="58">
        <f t="shared" ref="BZ5" si="12">BY5+1</f>
        <v>46313</v>
      </c>
      <c r="CA5" s="56">
        <f>BZ5+1</f>
        <v>46314</v>
      </c>
      <c r="CB5" s="57">
        <f>CA5+1</f>
        <v>46315</v>
      </c>
      <c r="CC5" s="57">
        <f t="shared" ref="CC5" si="13">CB5+1</f>
        <v>46316</v>
      </c>
      <c r="CD5" s="57">
        <f t="shared" ref="CD5" si="14">CC5+1</f>
        <v>46317</v>
      </c>
      <c r="CE5" s="57">
        <f t="shared" ref="CE5" si="15">CD5+1</f>
        <v>46318</v>
      </c>
      <c r="CF5" s="57">
        <f t="shared" ref="CF5" si="16">CE5+1</f>
        <v>46319</v>
      </c>
      <c r="CG5" s="58">
        <f t="shared" ref="CG5" si="17">CF5+1</f>
        <v>46320</v>
      </c>
      <c r="CH5" s="56">
        <f>CG5+1</f>
        <v>46321</v>
      </c>
      <c r="CI5" s="57">
        <f>CH5+1</f>
        <v>46322</v>
      </c>
      <c r="CJ5" s="57">
        <f t="shared" ref="CJ5" si="18">CI5+1</f>
        <v>46323</v>
      </c>
      <c r="CK5" s="57">
        <f t="shared" ref="CK5" si="19">CJ5+1</f>
        <v>46324</v>
      </c>
      <c r="CL5" s="57">
        <f t="shared" ref="CL5" si="20">CK5+1</f>
        <v>46325</v>
      </c>
      <c r="CM5" s="57">
        <f t="shared" ref="CM5" si="21">CL5+1</f>
        <v>46326</v>
      </c>
      <c r="CN5" s="58">
        <f t="shared" ref="CN5" si="22">CM5+1</f>
        <v>46327</v>
      </c>
      <c r="CO5" s="56">
        <f>CN5+1</f>
        <v>46328</v>
      </c>
      <c r="CP5" s="57">
        <f>CO5+1</f>
        <v>46329</v>
      </c>
      <c r="CQ5" s="57">
        <f t="shared" ref="CQ5" si="23">CP5+1</f>
        <v>46330</v>
      </c>
      <c r="CR5" s="57">
        <f t="shared" ref="CR5" si="24">CQ5+1</f>
        <v>46331</v>
      </c>
      <c r="CS5" s="57">
        <f t="shared" ref="CS5" si="25">CR5+1</f>
        <v>46332</v>
      </c>
      <c r="CT5" s="57">
        <f t="shared" ref="CT5" si="26">CS5+1</f>
        <v>46333</v>
      </c>
      <c r="CU5" s="58">
        <f>CT5+1</f>
        <v>46334</v>
      </c>
      <c r="CV5" s="56">
        <f>CU5+1</f>
        <v>46335</v>
      </c>
      <c r="CW5" s="57">
        <f>CV5+1</f>
        <v>46336</v>
      </c>
      <c r="CX5" s="57">
        <f t="shared" ref="CX5" si="27">CW5+1</f>
        <v>46337</v>
      </c>
      <c r="CY5" s="57">
        <f t="shared" ref="CY5" si="28">CX5+1</f>
        <v>46338</v>
      </c>
      <c r="CZ5" s="57">
        <f t="shared" ref="CZ5" si="29">CY5+1</f>
        <v>46339</v>
      </c>
      <c r="DA5" s="57">
        <f t="shared" ref="DA5" si="30">CZ5+1</f>
        <v>46340</v>
      </c>
      <c r="DB5" s="58">
        <f>DA5+1</f>
        <v>46341</v>
      </c>
      <c r="DC5" s="56">
        <f>DB5+1</f>
        <v>46342</v>
      </c>
      <c r="DD5" s="57">
        <f>DC5+1</f>
        <v>46343</v>
      </c>
      <c r="DE5" s="57">
        <f t="shared" ref="DE5" si="31">DD5+1</f>
        <v>46344</v>
      </c>
      <c r="DF5" s="57">
        <f t="shared" ref="DF5" si="32">DE5+1</f>
        <v>46345</v>
      </c>
      <c r="DG5" s="57">
        <f t="shared" ref="DG5" si="33">DF5+1</f>
        <v>46346</v>
      </c>
      <c r="DH5" s="57">
        <f t="shared" ref="DH5" si="34">DG5+1</f>
        <v>46347</v>
      </c>
      <c r="DI5" s="58">
        <f>DH5+1</f>
        <v>46348</v>
      </c>
    </row>
    <row r="6" spans="1:113" ht="30" customHeight="1" thickBot="1" x14ac:dyDescent="0.35">
      <c r="A6" s="30" t="s">
        <v>7</v>
      </c>
      <c r="B6" s="66" t="s">
        <v>8</v>
      </c>
      <c r="C6" s="8" t="s">
        <v>9</v>
      </c>
      <c r="D6" s="8" t="s">
        <v>10</v>
      </c>
      <c r="E6" s="8" t="s">
        <v>11</v>
      </c>
      <c r="F6" s="8" t="s">
        <v>12</v>
      </c>
      <c r="G6" s="8"/>
      <c r="H6" s="8" t="s">
        <v>13</v>
      </c>
      <c r="I6" s="9" t="str">
        <f t="shared" ref="I6" si="35">LEFT(TEXT(I5,"ddd"),1)</f>
        <v>s</v>
      </c>
      <c r="J6" s="9" t="str">
        <f t="shared" ref="J6:AR6" si="36">LEFT(TEXT(J5,"ddd"),1)</f>
        <v>t</v>
      </c>
      <c r="K6" s="9" t="str">
        <f t="shared" si="36"/>
        <v>q</v>
      </c>
      <c r="L6" s="9" t="str">
        <f t="shared" si="36"/>
        <v>q</v>
      </c>
      <c r="M6" s="9" t="str">
        <f t="shared" si="36"/>
        <v>s</v>
      </c>
      <c r="N6" s="9" t="str">
        <f t="shared" si="36"/>
        <v>s</v>
      </c>
      <c r="O6" s="9" t="str">
        <f t="shared" si="36"/>
        <v>d</v>
      </c>
      <c r="P6" s="9" t="str">
        <f t="shared" si="36"/>
        <v>s</v>
      </c>
      <c r="Q6" s="9" t="str">
        <f t="shared" si="36"/>
        <v>t</v>
      </c>
      <c r="R6" s="9" t="str">
        <f t="shared" si="36"/>
        <v>q</v>
      </c>
      <c r="S6" s="9" t="str">
        <f t="shared" si="36"/>
        <v>q</v>
      </c>
      <c r="T6" s="9" t="str">
        <f t="shared" si="36"/>
        <v>s</v>
      </c>
      <c r="U6" s="9" t="str">
        <f t="shared" si="36"/>
        <v>s</v>
      </c>
      <c r="V6" s="9" t="str">
        <f t="shared" si="36"/>
        <v>d</v>
      </c>
      <c r="W6" s="9" t="str">
        <f t="shared" si="36"/>
        <v>s</v>
      </c>
      <c r="X6" s="9" t="str">
        <f t="shared" si="36"/>
        <v>t</v>
      </c>
      <c r="Y6" s="9" t="str">
        <f t="shared" si="36"/>
        <v>q</v>
      </c>
      <c r="Z6" s="9" t="str">
        <f t="shared" si="36"/>
        <v>q</v>
      </c>
      <c r="AA6" s="9" t="str">
        <f t="shared" si="36"/>
        <v>s</v>
      </c>
      <c r="AB6" s="9" t="str">
        <f t="shared" si="36"/>
        <v>s</v>
      </c>
      <c r="AC6" s="9" t="str">
        <f t="shared" si="36"/>
        <v>d</v>
      </c>
      <c r="AD6" s="9" t="str">
        <f t="shared" si="36"/>
        <v>s</v>
      </c>
      <c r="AE6" s="9" t="str">
        <f t="shared" si="36"/>
        <v>t</v>
      </c>
      <c r="AF6" s="9" t="str">
        <f t="shared" si="36"/>
        <v>q</v>
      </c>
      <c r="AG6" s="9" t="str">
        <f t="shared" si="36"/>
        <v>q</v>
      </c>
      <c r="AH6" s="9" t="str">
        <f t="shared" si="36"/>
        <v>s</v>
      </c>
      <c r="AI6" s="9" t="str">
        <f t="shared" si="36"/>
        <v>s</v>
      </c>
      <c r="AJ6" s="9" t="str">
        <f t="shared" si="36"/>
        <v>d</v>
      </c>
      <c r="AK6" s="9" t="str">
        <f t="shared" si="36"/>
        <v>s</v>
      </c>
      <c r="AL6" s="9" t="str">
        <f t="shared" si="36"/>
        <v>t</v>
      </c>
      <c r="AM6" s="9" t="str">
        <f t="shared" si="36"/>
        <v>q</v>
      </c>
      <c r="AN6" s="9" t="str">
        <f t="shared" si="36"/>
        <v>q</v>
      </c>
      <c r="AO6" s="9" t="str">
        <f t="shared" si="36"/>
        <v>s</v>
      </c>
      <c r="AP6" s="9" t="str">
        <f t="shared" si="36"/>
        <v>s</v>
      </c>
      <c r="AQ6" s="9" t="str">
        <f t="shared" si="36"/>
        <v>d</v>
      </c>
      <c r="AR6" s="9" t="str">
        <f t="shared" si="36"/>
        <v>s</v>
      </c>
      <c r="AS6" s="9" t="str">
        <f t="shared" ref="AS6:BL6" si="37">LEFT(TEXT(AS5,"ddd"),1)</f>
        <v>t</v>
      </c>
      <c r="AT6" s="9" t="str">
        <f t="shared" si="37"/>
        <v>q</v>
      </c>
      <c r="AU6" s="9" t="str">
        <f t="shared" si="37"/>
        <v>q</v>
      </c>
      <c r="AV6" s="9" t="str">
        <f t="shared" si="37"/>
        <v>s</v>
      </c>
      <c r="AW6" s="9" t="str">
        <f t="shared" si="37"/>
        <v>s</v>
      </c>
      <c r="AX6" s="9" t="str">
        <f t="shared" si="37"/>
        <v>d</v>
      </c>
      <c r="AY6" s="9" t="str">
        <f t="shared" si="37"/>
        <v>s</v>
      </c>
      <c r="AZ6" s="9" t="str">
        <f t="shared" si="37"/>
        <v>t</v>
      </c>
      <c r="BA6" s="9" t="str">
        <f t="shared" si="37"/>
        <v>q</v>
      </c>
      <c r="BB6" s="9" t="str">
        <f t="shared" si="37"/>
        <v>q</v>
      </c>
      <c r="BC6" s="9" t="str">
        <f t="shared" si="37"/>
        <v>s</v>
      </c>
      <c r="BD6" s="9" t="str">
        <f t="shared" si="37"/>
        <v>s</v>
      </c>
      <c r="BE6" s="9" t="str">
        <f t="shared" si="37"/>
        <v>d</v>
      </c>
      <c r="BF6" s="9" t="str">
        <f t="shared" si="37"/>
        <v>s</v>
      </c>
      <c r="BG6" s="9" t="str">
        <f t="shared" si="37"/>
        <v>t</v>
      </c>
      <c r="BH6" s="9" t="str">
        <f t="shared" si="37"/>
        <v>q</v>
      </c>
      <c r="BI6" s="9" t="str">
        <f t="shared" si="37"/>
        <v>q</v>
      </c>
      <c r="BJ6" s="9" t="str">
        <f t="shared" si="37"/>
        <v>s</v>
      </c>
      <c r="BK6" s="9" t="str">
        <f t="shared" si="37"/>
        <v>s</v>
      </c>
      <c r="BL6" s="9" t="str">
        <f t="shared" si="37"/>
        <v>d</v>
      </c>
      <c r="BM6" s="9" t="str">
        <f t="shared" ref="BM6:BZ6" si="38">LEFT(TEXT(BM5,"ddd"),1)</f>
        <v>s</v>
      </c>
      <c r="BN6" s="9" t="str">
        <f t="shared" si="38"/>
        <v>t</v>
      </c>
      <c r="BO6" s="9" t="str">
        <f t="shared" si="38"/>
        <v>q</v>
      </c>
      <c r="BP6" s="9" t="str">
        <f t="shared" si="38"/>
        <v>q</v>
      </c>
      <c r="BQ6" s="9" t="str">
        <f t="shared" si="38"/>
        <v>s</v>
      </c>
      <c r="BR6" s="9" t="str">
        <f t="shared" si="38"/>
        <v>s</v>
      </c>
      <c r="BS6" s="9" t="str">
        <f t="shared" si="38"/>
        <v>d</v>
      </c>
      <c r="BT6" s="9" t="str">
        <f t="shared" si="38"/>
        <v>s</v>
      </c>
      <c r="BU6" s="9" t="str">
        <f t="shared" si="38"/>
        <v>t</v>
      </c>
      <c r="BV6" s="9" t="str">
        <f t="shared" si="38"/>
        <v>q</v>
      </c>
      <c r="BW6" s="9" t="str">
        <f t="shared" si="38"/>
        <v>q</v>
      </c>
      <c r="BX6" s="9" t="str">
        <f t="shared" si="38"/>
        <v>s</v>
      </c>
      <c r="BY6" s="9" t="str">
        <f t="shared" si="38"/>
        <v>s</v>
      </c>
      <c r="BZ6" s="9" t="str">
        <f t="shared" si="38"/>
        <v>d</v>
      </c>
      <c r="CA6" s="9" t="str">
        <f t="shared" ref="CA6:CU6" si="39">LEFT(TEXT(CA5,"ddd"),1)</f>
        <v>s</v>
      </c>
      <c r="CB6" s="9" t="str">
        <f t="shared" si="39"/>
        <v>t</v>
      </c>
      <c r="CC6" s="9" t="str">
        <f t="shared" si="39"/>
        <v>q</v>
      </c>
      <c r="CD6" s="9" t="str">
        <f t="shared" si="39"/>
        <v>q</v>
      </c>
      <c r="CE6" s="9" t="str">
        <f t="shared" si="39"/>
        <v>s</v>
      </c>
      <c r="CF6" s="9" t="str">
        <f t="shared" si="39"/>
        <v>s</v>
      </c>
      <c r="CG6" s="9" t="str">
        <f t="shared" si="39"/>
        <v>d</v>
      </c>
      <c r="CH6" s="9" t="str">
        <f t="shared" si="39"/>
        <v>s</v>
      </c>
      <c r="CI6" s="9" t="str">
        <f t="shared" si="39"/>
        <v>t</v>
      </c>
      <c r="CJ6" s="9" t="str">
        <f t="shared" si="39"/>
        <v>q</v>
      </c>
      <c r="CK6" s="9" t="str">
        <f t="shared" si="39"/>
        <v>q</v>
      </c>
      <c r="CL6" s="9" t="str">
        <f t="shared" si="39"/>
        <v>s</v>
      </c>
      <c r="CM6" s="9" t="str">
        <f t="shared" si="39"/>
        <v>s</v>
      </c>
      <c r="CN6" s="9" t="str">
        <f t="shared" si="39"/>
        <v>d</v>
      </c>
      <c r="CO6" s="9" t="str">
        <f t="shared" si="39"/>
        <v>s</v>
      </c>
      <c r="CP6" s="9" t="str">
        <f t="shared" si="39"/>
        <v>t</v>
      </c>
      <c r="CQ6" s="9" t="str">
        <f t="shared" si="39"/>
        <v>q</v>
      </c>
      <c r="CR6" s="9" t="str">
        <f t="shared" si="39"/>
        <v>q</v>
      </c>
      <c r="CS6" s="9" t="str">
        <f t="shared" si="39"/>
        <v>s</v>
      </c>
      <c r="CT6" s="9" t="str">
        <f t="shared" si="39"/>
        <v>s</v>
      </c>
      <c r="CU6" s="9" t="str">
        <f t="shared" si="39"/>
        <v>d</v>
      </c>
      <c r="CV6" s="9" t="str">
        <f t="shared" ref="CV6:DB6" si="40">LEFT(TEXT(CV5,"ddd"),1)</f>
        <v>s</v>
      </c>
      <c r="CW6" s="9" t="str">
        <f t="shared" si="40"/>
        <v>t</v>
      </c>
      <c r="CX6" s="9" t="str">
        <f t="shared" si="40"/>
        <v>q</v>
      </c>
      <c r="CY6" s="9" t="str">
        <f t="shared" si="40"/>
        <v>q</v>
      </c>
      <c r="CZ6" s="9" t="str">
        <f t="shared" si="40"/>
        <v>s</v>
      </c>
      <c r="DA6" s="9" t="str">
        <f t="shared" si="40"/>
        <v>s</v>
      </c>
      <c r="DB6" s="9" t="str">
        <f t="shared" si="40"/>
        <v>d</v>
      </c>
      <c r="DC6" s="9" t="str">
        <f t="shared" ref="DC6:DI6" si="41">LEFT(TEXT(DC5,"ddd"),1)</f>
        <v>s</v>
      </c>
      <c r="DD6" s="9" t="str">
        <f t="shared" si="41"/>
        <v>t</v>
      </c>
      <c r="DE6" s="9" t="str">
        <f t="shared" si="41"/>
        <v>q</v>
      </c>
      <c r="DF6" s="9" t="str">
        <f t="shared" si="41"/>
        <v>q</v>
      </c>
      <c r="DG6" s="9" t="str">
        <f t="shared" si="41"/>
        <v>s</v>
      </c>
      <c r="DH6" s="9" t="str">
        <f t="shared" si="41"/>
        <v>s</v>
      </c>
      <c r="DI6" s="9" t="str">
        <f t="shared" si="41"/>
        <v>d</v>
      </c>
    </row>
    <row r="7" spans="1:113" ht="23.4" hidden="1" customHeight="1" thickBot="1" x14ac:dyDescent="0.35">
      <c r="A7" s="29" t="s">
        <v>14</v>
      </c>
      <c r="C7" s="32"/>
      <c r="E7"/>
      <c r="H7" t="str">
        <f>IF(OR(ISBLANK(início_da_tarefa),ISBLANK(término_da_tarefa)),"",término_da_tarefa-início_da_tarefa+1)</f>
        <v/>
      </c>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row>
    <row r="8" spans="1:113" s="3" customFormat="1" ht="30" customHeight="1" thickBot="1" x14ac:dyDescent="0.35">
      <c r="A8" s="30" t="s">
        <v>15</v>
      </c>
      <c r="B8" s="67" t="s">
        <v>32</v>
      </c>
      <c r="C8" s="33"/>
      <c r="D8" s="14">
        <v>1</v>
      </c>
      <c r="E8" s="41"/>
      <c r="F8" s="42"/>
      <c r="G8" s="13"/>
      <c r="H8" s="13" t="str">
        <f t="shared" ref="H8:H39" si="42">IF(OR(ISBLANK(início_da_tarefa),ISBLANK(término_da_tarefa)),"",término_da_tarefa-início_da_tarefa+1)</f>
        <v/>
      </c>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row>
    <row r="9" spans="1:113" s="3" customFormat="1" ht="30" customHeight="1" thickBot="1" x14ac:dyDescent="0.35">
      <c r="A9" s="30" t="s">
        <v>16</v>
      </c>
      <c r="B9" s="68" t="s">
        <v>38</v>
      </c>
      <c r="C9" s="34" t="s">
        <v>26</v>
      </c>
      <c r="D9" s="15">
        <v>1</v>
      </c>
      <c r="E9" s="43">
        <f>Início_do_projeto</f>
        <v>46244</v>
      </c>
      <c r="F9" s="43">
        <v>46259</v>
      </c>
      <c r="G9" s="13"/>
      <c r="H9" s="13">
        <f t="shared" si="42"/>
        <v>16</v>
      </c>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row>
    <row r="10" spans="1:113" s="3" customFormat="1" ht="30" customHeight="1" thickBot="1" x14ac:dyDescent="0.35">
      <c r="A10" s="30" t="s">
        <v>17</v>
      </c>
      <c r="B10" s="68" t="s">
        <v>25</v>
      </c>
      <c r="C10" s="34" t="s">
        <v>40</v>
      </c>
      <c r="D10" s="15">
        <v>1</v>
      </c>
      <c r="E10" s="43">
        <v>46258</v>
      </c>
      <c r="F10" s="43">
        <f>E10+1</f>
        <v>46259</v>
      </c>
      <c r="G10" s="13"/>
      <c r="H10" s="13">
        <f t="shared" si="42"/>
        <v>2</v>
      </c>
      <c r="I10" s="25"/>
      <c r="J10" s="25"/>
      <c r="K10" s="25"/>
      <c r="L10" s="25"/>
      <c r="M10" s="25"/>
      <c r="N10" s="25"/>
      <c r="O10" s="25"/>
      <c r="P10" s="25"/>
      <c r="Q10" s="25"/>
      <c r="R10" s="25"/>
      <c r="S10" s="25"/>
      <c r="T10" s="25"/>
      <c r="U10" s="26"/>
      <c r="V10" s="26"/>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row>
    <row r="11" spans="1:113" s="3" customFormat="1" ht="30" customHeight="1" thickBot="1" x14ac:dyDescent="0.35">
      <c r="A11" s="29"/>
      <c r="B11" s="68" t="s">
        <v>42</v>
      </c>
      <c r="C11" s="34" t="s">
        <v>58</v>
      </c>
      <c r="D11" s="15">
        <v>1</v>
      </c>
      <c r="E11" s="43">
        <v>46259</v>
      </c>
      <c r="F11" s="43">
        <v>46261</v>
      </c>
      <c r="G11" s="13"/>
      <c r="H11" s="13">
        <f t="shared" si="42"/>
        <v>3</v>
      </c>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row>
    <row r="12" spans="1:113" s="3" customFormat="1" ht="30" customHeight="1" thickBot="1" x14ac:dyDescent="0.35">
      <c r="A12" s="29" t="s">
        <v>28</v>
      </c>
      <c r="B12" s="68" t="s">
        <v>43</v>
      </c>
      <c r="C12" s="34" t="s">
        <v>59</v>
      </c>
      <c r="D12" s="15">
        <v>1</v>
      </c>
      <c r="E12" s="43">
        <v>46259</v>
      </c>
      <c r="F12" s="43">
        <v>46261</v>
      </c>
      <c r="G12" s="13"/>
      <c r="H12" s="13"/>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row>
    <row r="13" spans="1:113" s="3" customFormat="1" ht="30" customHeight="1" thickBot="1" x14ac:dyDescent="0.35">
      <c r="A13" s="29"/>
      <c r="B13" s="68" t="s">
        <v>29</v>
      </c>
      <c r="C13" s="34" t="s">
        <v>60</v>
      </c>
      <c r="D13" s="15">
        <v>1</v>
      </c>
      <c r="E13" s="43">
        <v>46259</v>
      </c>
      <c r="F13" s="43">
        <v>46261</v>
      </c>
      <c r="G13" s="13"/>
      <c r="H13" s="13"/>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row>
    <row r="14" spans="1:113" s="3" customFormat="1" ht="30" customHeight="1" thickBot="1" x14ac:dyDescent="0.35">
      <c r="A14" s="29"/>
      <c r="B14" s="68" t="s">
        <v>24</v>
      </c>
      <c r="C14" s="34" t="s">
        <v>27</v>
      </c>
      <c r="D14" s="15">
        <v>1</v>
      </c>
      <c r="E14" s="43">
        <v>46259</v>
      </c>
      <c r="F14" s="43">
        <v>46260</v>
      </c>
      <c r="G14" s="13"/>
      <c r="H14" s="13"/>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row>
    <row r="15" spans="1:113" s="3" customFormat="1" ht="30" customHeight="1" thickBot="1" x14ac:dyDescent="0.35">
      <c r="A15" s="29"/>
      <c r="B15" s="68" t="s">
        <v>30</v>
      </c>
      <c r="C15" s="34" t="s">
        <v>31</v>
      </c>
      <c r="D15" s="15">
        <v>1</v>
      </c>
      <c r="E15" s="43">
        <v>46259</v>
      </c>
      <c r="F15" s="43">
        <v>46260</v>
      </c>
      <c r="G15" s="13"/>
      <c r="H15" s="13"/>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row>
    <row r="16" spans="1:113" s="3" customFormat="1" ht="30" customHeight="1" thickBot="1" x14ac:dyDescent="0.35">
      <c r="A16" s="29"/>
      <c r="B16" s="68" t="s">
        <v>39</v>
      </c>
      <c r="C16" s="34" t="s">
        <v>41</v>
      </c>
      <c r="D16" s="15">
        <v>1</v>
      </c>
      <c r="E16" s="43">
        <v>46262</v>
      </c>
      <c r="F16" s="43">
        <v>46262</v>
      </c>
      <c r="G16" s="13"/>
      <c r="H16" s="13">
        <f t="shared" si="42"/>
        <v>1</v>
      </c>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row>
    <row r="17" spans="1:113" s="3" customFormat="1" ht="30" customHeight="1" thickBot="1" x14ac:dyDescent="0.35">
      <c r="A17" s="30" t="s">
        <v>18</v>
      </c>
      <c r="B17" s="69" t="s">
        <v>33</v>
      </c>
      <c r="C17" s="35"/>
      <c r="D17" s="16"/>
      <c r="E17" s="44"/>
      <c r="F17" s="45"/>
      <c r="G17" s="13"/>
      <c r="H17" s="13" t="str">
        <f t="shared" si="42"/>
        <v/>
      </c>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row>
    <row r="18" spans="1:113" s="3" customFormat="1" ht="30" customHeight="1" thickBot="1" x14ac:dyDescent="0.35">
      <c r="A18" s="30"/>
      <c r="B18" s="70" t="s">
        <v>44</v>
      </c>
      <c r="C18" s="59" t="s">
        <v>27</v>
      </c>
      <c r="D18" s="17">
        <v>1</v>
      </c>
      <c r="E18" s="46">
        <v>46263</v>
      </c>
      <c r="F18" s="46">
        <v>46267</v>
      </c>
      <c r="G18" s="13"/>
      <c r="H18" s="13">
        <f t="shared" si="42"/>
        <v>5</v>
      </c>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row>
    <row r="19" spans="1:113" s="3" customFormat="1" ht="30" customHeight="1" thickBot="1" x14ac:dyDescent="0.35">
      <c r="A19" s="29"/>
      <c r="B19" s="70" t="s">
        <v>45</v>
      </c>
      <c r="C19" s="59" t="s">
        <v>40</v>
      </c>
      <c r="D19" s="17">
        <v>1</v>
      </c>
      <c r="E19" s="46">
        <v>46266</v>
      </c>
      <c r="F19" s="46">
        <v>46272</v>
      </c>
      <c r="G19" s="13"/>
      <c r="H19" s="13">
        <f t="shared" si="42"/>
        <v>7</v>
      </c>
      <c r="I19" s="25"/>
      <c r="J19" s="25"/>
      <c r="K19" s="25"/>
      <c r="L19" s="25"/>
      <c r="M19" s="25"/>
      <c r="N19" s="25"/>
      <c r="O19" s="25"/>
      <c r="P19" s="25"/>
      <c r="Q19" s="25"/>
      <c r="R19" s="25"/>
      <c r="S19" s="25"/>
      <c r="T19" s="25"/>
      <c r="U19" s="26"/>
      <c r="V19" s="26"/>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row>
    <row r="20" spans="1:113" s="3" customFormat="1" ht="30" customHeight="1" thickBot="1" x14ac:dyDescent="0.35">
      <c r="A20" s="29"/>
      <c r="B20" s="70" t="s">
        <v>46</v>
      </c>
      <c r="C20" s="59" t="s">
        <v>31</v>
      </c>
      <c r="D20" s="17">
        <v>1</v>
      </c>
      <c r="E20" s="46">
        <v>46272</v>
      </c>
      <c r="F20" s="46">
        <v>46283</v>
      </c>
      <c r="G20" s="13"/>
      <c r="H20" s="13">
        <f t="shared" si="42"/>
        <v>12</v>
      </c>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row>
    <row r="21" spans="1:113" s="3" customFormat="1" ht="30" customHeight="1" thickBot="1" x14ac:dyDescent="0.35">
      <c r="A21" s="29"/>
      <c r="B21" s="70" t="s">
        <v>47</v>
      </c>
      <c r="C21" s="59" t="s">
        <v>31</v>
      </c>
      <c r="D21" s="17">
        <v>1</v>
      </c>
      <c r="E21" s="46">
        <v>46272</v>
      </c>
      <c r="F21" s="46">
        <v>46283</v>
      </c>
      <c r="G21" s="13"/>
      <c r="H21" s="13"/>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row>
    <row r="22" spans="1:113" s="3" customFormat="1" ht="30" customHeight="1" thickBot="1" x14ac:dyDescent="0.35">
      <c r="A22" s="29"/>
      <c r="B22" s="70" t="s">
        <v>48</v>
      </c>
      <c r="C22" s="59" t="s">
        <v>27</v>
      </c>
      <c r="D22" s="17">
        <v>1</v>
      </c>
      <c r="E22" s="46">
        <v>46284</v>
      </c>
      <c r="F22" s="46">
        <v>46289</v>
      </c>
      <c r="G22" s="13"/>
      <c r="H22" s="13">
        <f t="shared" si="42"/>
        <v>6</v>
      </c>
      <c r="I22" s="25"/>
      <c r="J22" s="25"/>
      <c r="K22" s="25"/>
      <c r="L22" s="25"/>
      <c r="M22" s="25"/>
      <c r="N22" s="25"/>
      <c r="O22" s="25"/>
      <c r="P22" s="25"/>
      <c r="Q22" s="25"/>
      <c r="R22" s="25"/>
      <c r="S22" s="25"/>
      <c r="T22" s="25"/>
      <c r="U22" s="25"/>
      <c r="V22" s="25"/>
      <c r="W22" s="25"/>
      <c r="X22" s="25"/>
      <c r="Y22" s="26"/>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row>
    <row r="23" spans="1:113" s="3" customFormat="1" ht="30" customHeight="1" thickBot="1" x14ac:dyDescent="0.35">
      <c r="A23" s="29"/>
      <c r="B23" s="70" t="s">
        <v>49</v>
      </c>
      <c r="C23" s="59" t="s">
        <v>41</v>
      </c>
      <c r="D23" s="17">
        <v>1</v>
      </c>
      <c r="E23" s="46">
        <v>46284</v>
      </c>
      <c r="F23" s="46">
        <v>46289</v>
      </c>
      <c r="G23" s="13"/>
      <c r="H23" s="13"/>
      <c r="I23" s="25"/>
      <c r="J23" s="25"/>
      <c r="K23" s="25"/>
      <c r="L23" s="25"/>
      <c r="M23" s="25"/>
      <c r="N23" s="25"/>
      <c r="O23" s="25"/>
      <c r="P23" s="25"/>
      <c r="Q23" s="25"/>
      <c r="R23" s="25"/>
      <c r="S23" s="25"/>
      <c r="T23" s="25"/>
      <c r="U23" s="25"/>
      <c r="V23" s="25"/>
      <c r="W23" s="25"/>
      <c r="X23" s="25"/>
      <c r="Y23" s="26"/>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row>
    <row r="24" spans="1:113" s="3" customFormat="1" ht="30" customHeight="1" thickBot="1" x14ac:dyDescent="0.35">
      <c r="A24" s="29"/>
      <c r="B24" s="70" t="s">
        <v>50</v>
      </c>
      <c r="C24" s="59" t="s">
        <v>27</v>
      </c>
      <c r="D24" s="17">
        <v>1</v>
      </c>
      <c r="E24" s="46">
        <v>46290</v>
      </c>
      <c r="F24" s="46">
        <v>46290</v>
      </c>
      <c r="G24" s="13"/>
      <c r="H24" s="13">
        <f t="shared" si="42"/>
        <v>1</v>
      </c>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row>
    <row r="25" spans="1:113" s="3" customFormat="1" ht="30" customHeight="1" thickBot="1" x14ac:dyDescent="0.35">
      <c r="A25" s="29" t="s">
        <v>19</v>
      </c>
      <c r="B25" s="71" t="s">
        <v>34</v>
      </c>
      <c r="C25" s="36"/>
      <c r="D25" s="18"/>
      <c r="E25" s="47"/>
      <c r="F25" s="48"/>
      <c r="G25" s="13"/>
      <c r="H25" s="13" t="str">
        <f t="shared" si="42"/>
        <v/>
      </c>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row>
    <row r="26" spans="1:113" s="3" customFormat="1" ht="30" customHeight="1" thickBot="1" x14ac:dyDescent="0.35">
      <c r="A26" s="29"/>
      <c r="B26" s="72" t="s">
        <v>61</v>
      </c>
      <c r="C26" s="60" t="s">
        <v>31</v>
      </c>
      <c r="D26" s="19">
        <v>0</v>
      </c>
      <c r="E26" s="49">
        <v>46291</v>
      </c>
      <c r="F26" s="49">
        <v>46309</v>
      </c>
      <c r="G26" s="13"/>
      <c r="H26" s="13">
        <f t="shared" si="42"/>
        <v>19</v>
      </c>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row>
    <row r="27" spans="1:113" s="3" customFormat="1" ht="30" customHeight="1" thickBot="1" x14ac:dyDescent="0.35">
      <c r="A27" s="29"/>
      <c r="B27" s="72" t="s">
        <v>62</v>
      </c>
      <c r="C27" s="60" t="s">
        <v>31</v>
      </c>
      <c r="D27" s="19">
        <v>0</v>
      </c>
      <c r="E27" s="49">
        <v>46291</v>
      </c>
      <c r="F27" s="49">
        <v>46309</v>
      </c>
      <c r="G27" s="13"/>
      <c r="H27" s="13"/>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row>
    <row r="28" spans="1:113" s="3" customFormat="1" ht="30" customHeight="1" thickBot="1" x14ac:dyDescent="0.35">
      <c r="A28" s="29"/>
      <c r="B28" s="72" t="s">
        <v>63</v>
      </c>
      <c r="C28" s="60" t="s">
        <v>40</v>
      </c>
      <c r="D28" s="19">
        <v>0</v>
      </c>
      <c r="E28" s="49">
        <v>46305</v>
      </c>
      <c r="F28" s="49">
        <v>46312</v>
      </c>
      <c r="G28" s="13"/>
      <c r="H28" s="13"/>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row>
    <row r="29" spans="1:113" s="3" customFormat="1" ht="30" customHeight="1" thickBot="1" x14ac:dyDescent="0.35">
      <c r="A29" s="29"/>
      <c r="B29" s="72" t="s">
        <v>51</v>
      </c>
      <c r="C29" s="60" t="s">
        <v>27</v>
      </c>
      <c r="D29" s="19">
        <v>1</v>
      </c>
      <c r="E29" s="49">
        <v>46306</v>
      </c>
      <c r="F29" s="49">
        <v>46314</v>
      </c>
      <c r="G29" s="13"/>
      <c r="H29" s="13">
        <f t="shared" si="42"/>
        <v>9</v>
      </c>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row>
    <row r="30" spans="1:113" s="3" customFormat="1" ht="30" customHeight="1" thickBot="1" x14ac:dyDescent="0.35">
      <c r="A30" s="29"/>
      <c r="B30" s="72" t="s">
        <v>52</v>
      </c>
      <c r="C30" s="60" t="s">
        <v>41</v>
      </c>
      <c r="D30" s="19">
        <v>0</v>
      </c>
      <c r="E30" s="49">
        <v>46312</v>
      </c>
      <c r="F30" s="49">
        <v>46317</v>
      </c>
      <c r="G30" s="13"/>
      <c r="H30" s="13">
        <f t="shared" si="42"/>
        <v>6</v>
      </c>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row>
    <row r="31" spans="1:113" s="3" customFormat="1" ht="30" customHeight="1" thickBot="1" x14ac:dyDescent="0.35">
      <c r="A31" s="29"/>
      <c r="B31" s="72" t="s">
        <v>37</v>
      </c>
      <c r="C31" s="60" t="s">
        <v>41</v>
      </c>
      <c r="D31" s="19">
        <v>0</v>
      </c>
      <c r="E31" s="49">
        <v>46318</v>
      </c>
      <c r="F31" s="49">
        <v>46318</v>
      </c>
      <c r="G31" s="13"/>
      <c r="H31" s="13">
        <f t="shared" si="42"/>
        <v>1</v>
      </c>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row>
    <row r="32" spans="1:113" s="3" customFormat="1" ht="30" customHeight="1" thickBot="1" x14ac:dyDescent="0.35">
      <c r="A32" s="29" t="s">
        <v>19</v>
      </c>
      <c r="B32" s="73" t="s">
        <v>35</v>
      </c>
      <c r="C32" s="61" t="s">
        <v>36</v>
      </c>
      <c r="D32" s="20"/>
      <c r="E32" s="50"/>
      <c r="F32" s="51"/>
      <c r="G32" s="13"/>
      <c r="H32" s="13" t="str">
        <f t="shared" si="42"/>
        <v/>
      </c>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row>
    <row r="33" spans="1:113" s="3" customFormat="1" ht="30" customHeight="1" thickBot="1" x14ac:dyDescent="0.35">
      <c r="A33" s="29"/>
      <c r="B33" s="74" t="s">
        <v>53</v>
      </c>
      <c r="C33" s="62" t="s">
        <v>36</v>
      </c>
      <c r="D33" s="21">
        <v>0</v>
      </c>
      <c r="E33" s="52">
        <v>46319</v>
      </c>
      <c r="F33" s="52">
        <v>46333</v>
      </c>
      <c r="G33" s="13"/>
      <c r="H33" s="13">
        <f t="shared" si="42"/>
        <v>15</v>
      </c>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row>
    <row r="34" spans="1:113" s="3" customFormat="1" ht="30" customHeight="1" thickBot="1" x14ac:dyDescent="0.35">
      <c r="A34" s="29"/>
      <c r="B34" s="74" t="s">
        <v>54</v>
      </c>
      <c r="C34" s="62" t="s">
        <v>36</v>
      </c>
      <c r="D34" s="21">
        <v>0</v>
      </c>
      <c r="E34" s="52">
        <v>46328</v>
      </c>
      <c r="F34" s="52">
        <v>46340</v>
      </c>
      <c r="G34" s="13"/>
      <c r="H34" s="13">
        <f t="shared" si="42"/>
        <v>13</v>
      </c>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row>
    <row r="35" spans="1:113" s="3" customFormat="1" ht="30" customHeight="1" thickBot="1" x14ac:dyDescent="0.35">
      <c r="A35" s="29"/>
      <c r="B35" s="74" t="s">
        <v>57</v>
      </c>
      <c r="C35" s="62" t="s">
        <v>36</v>
      </c>
      <c r="D35" s="21">
        <v>0</v>
      </c>
      <c r="E35" s="52">
        <v>46337</v>
      </c>
      <c r="F35" s="52">
        <v>46345</v>
      </c>
      <c r="G35" s="13"/>
      <c r="H35" s="13"/>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row>
    <row r="36" spans="1:113" s="3" customFormat="1" ht="30" customHeight="1" thickBot="1" x14ac:dyDescent="0.35">
      <c r="A36" s="29"/>
      <c r="B36" s="74" t="s">
        <v>55</v>
      </c>
      <c r="C36" s="62" t="s">
        <v>36</v>
      </c>
      <c r="D36" s="21">
        <v>0</v>
      </c>
      <c r="E36" s="52">
        <v>46344</v>
      </c>
      <c r="F36" s="52">
        <v>46345</v>
      </c>
      <c r="G36" s="13"/>
      <c r="H36" s="13">
        <f t="shared" si="42"/>
        <v>2</v>
      </c>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row>
    <row r="37" spans="1:113" s="3" customFormat="1" ht="30" customHeight="1" thickBot="1" x14ac:dyDescent="0.35">
      <c r="A37" s="29"/>
      <c r="B37" s="74" t="s">
        <v>56</v>
      </c>
      <c r="C37" s="62" t="s">
        <v>36</v>
      </c>
      <c r="D37" s="21">
        <v>0</v>
      </c>
      <c r="E37" s="52">
        <v>46346</v>
      </c>
      <c r="F37" s="52">
        <v>46346</v>
      </c>
      <c r="G37" s="13"/>
      <c r="H37" s="13">
        <f t="shared" si="42"/>
        <v>1</v>
      </c>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row>
    <row r="38" spans="1:113" s="3" customFormat="1" ht="30" customHeight="1" thickBot="1" x14ac:dyDescent="0.35">
      <c r="A38" s="29" t="s">
        <v>20</v>
      </c>
      <c r="B38" s="75"/>
      <c r="C38" s="37"/>
      <c r="D38" s="12"/>
      <c r="E38" s="53"/>
      <c r="F38" s="53"/>
      <c r="G38" s="13"/>
      <c r="H38" s="13" t="str">
        <f t="shared" si="42"/>
        <v/>
      </c>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row>
    <row r="39" spans="1:113" s="3" customFormat="1" ht="30" customHeight="1" thickBot="1" x14ac:dyDescent="0.35">
      <c r="A39" s="30" t="s">
        <v>21</v>
      </c>
      <c r="B39" s="76" t="s">
        <v>22</v>
      </c>
      <c r="C39" s="22"/>
      <c r="D39" s="23"/>
      <c r="E39" s="54"/>
      <c r="F39" s="55"/>
      <c r="G39" s="24"/>
      <c r="H39" s="24" t="str">
        <f t="shared" si="42"/>
        <v/>
      </c>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row>
    <row r="40" spans="1:113" ht="30" customHeight="1" x14ac:dyDescent="0.3">
      <c r="G40" s="6"/>
    </row>
    <row r="41" spans="1:113" ht="30" customHeight="1" x14ac:dyDescent="0.3">
      <c r="C41" s="10"/>
      <c r="F41" s="31"/>
    </row>
    <row r="42" spans="1:113" ht="30" customHeight="1" x14ac:dyDescent="0.3">
      <c r="C42" s="11"/>
    </row>
  </sheetData>
  <mergeCells count="18">
    <mergeCell ref="BM4:BS4"/>
    <mergeCell ref="BT4:BZ4"/>
    <mergeCell ref="BF4:BL4"/>
    <mergeCell ref="E3:F3"/>
    <mergeCell ref="I4:O4"/>
    <mergeCell ref="P4:V4"/>
    <mergeCell ref="W4:AC4"/>
    <mergeCell ref="AD4:AJ4"/>
    <mergeCell ref="C3:D3"/>
    <mergeCell ref="C4:D4"/>
    <mergeCell ref="AK4:AQ4"/>
    <mergeCell ref="AR4:AX4"/>
    <mergeCell ref="AY4:BE4"/>
    <mergeCell ref="CA4:CG4"/>
    <mergeCell ref="CH4:CN4"/>
    <mergeCell ref="CO4:CU4"/>
    <mergeCell ref="CV4:DB4"/>
    <mergeCell ref="DC4:DI4"/>
  </mergeCells>
  <conditionalFormatting sqref="D7:D39">
    <cfRule type="dataBar" priority="35">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DI39">
    <cfRule type="expression" dxfId="2" priority="9">
      <formula>AND(TODAY()&gt;=I$5,TODAY()&lt;J$5)</formula>
    </cfRule>
  </conditionalFormatting>
  <conditionalFormatting sqref="I7:DI39">
    <cfRule type="expression" dxfId="1" priority="7">
      <formula>AND(início_da_tarefa&lt;=I$5,ROUNDDOWN((término_da_tarefa-início_da_tarefa+1)*progresso_da_tarefa,0)+início_da_tarefa-1&gt;=I$5)</formula>
    </cfRule>
    <cfRule type="expression" dxfId="0" priority="8" stopIfTrue="1">
      <formula>AND(término_da_tarefa&gt;=I$5,início_da_tarefa&lt;J$5)</formula>
    </cfRule>
  </conditionalFormatting>
  <dataValidations disablePrompts="1" count="1">
    <dataValidation type="whole" operator="greaterThanOrEqual" allowBlank="1" showInputMessage="1" promptTitle="Semana de exibição" prompt="Alterar esse número rola a exibição do Gráfico de Gantt." sqref="E4" xr:uid="{00000000-0002-0000-0000-000000000000}">
      <formula1>1</formula1>
    </dataValidation>
  </dataValidations>
  <printOptions horizontalCentered="1"/>
  <pageMargins left="0.35" right="0.35" top="0.35" bottom="0.5" header="0.3" footer="0.3"/>
  <pageSetup paperSize="9" scale="38"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5144944C-1F1D-4162-962A-96F3FC8455D8}">
  <ds:schemaRefs>
    <ds:schemaRef ds:uri="71af3243-3dd4-4a8d-8c0d-dd76da1f02a5"/>
    <ds:schemaRef ds:uri="http://schemas.microsoft.com/office/2006/documentManagement/types"/>
    <ds:schemaRef ds:uri="http://www.w3.org/XML/1998/namespace"/>
    <ds:schemaRef ds:uri="http://schemas.microsoft.com/office/2006/metadata/properties"/>
    <ds:schemaRef ds:uri="230e9df3-be65-4c73-a93b-d1236ebd677e"/>
    <ds:schemaRef ds:uri="16c05727-aa75-4e4a-9b5f-8a80a1165891"/>
    <ds:schemaRef ds:uri="http://schemas.microsoft.com/sharepoint/v3"/>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1</vt:i4>
      </vt:variant>
      <vt:variant>
        <vt:lpstr>Intervalos Nomeados</vt:lpstr>
      </vt:variant>
      <vt:variant>
        <vt:i4>6</vt:i4>
      </vt:variant>
    </vt:vector>
  </HeadingPairs>
  <TitlesOfParts>
    <vt:vector size="7" baseType="lpstr">
      <vt:lpstr>CronogramaDeProjeto</vt:lpstr>
      <vt:lpstr>CronogramaDeProjeto!início_da_tarefa</vt:lpstr>
      <vt:lpstr>Início_do_projeto</vt:lpstr>
      <vt:lpstr>CronogramaDeProjeto!progresso_da_tarefa</vt:lpstr>
      <vt:lpstr>Semana_de_exibição</vt:lpstr>
      <vt:lpstr>CronogramaDeProjeto!término_da_tarefa</vt:lpstr>
      <vt:lpstr>CronogramaDeProjeto!Titulos_de_impressao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2026-02-25T23:22:21Z</dcterms:created>
  <dcterms:modified xsi:type="dcterms:W3CDTF">2026-10-20T00:25:24Z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
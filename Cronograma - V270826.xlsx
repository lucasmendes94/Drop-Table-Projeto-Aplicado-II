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238" documentId="8_{FF5240C3-D58F-4F38-800B-53611AE9A479}" xr6:coauthVersionLast="47" xr6:coauthVersionMax="47" xr10:uidLastSave="{764067EE-B692-4ECE-89E2-C0C7FAF36A48}"/>
  <bookViews>
    <workbookView xWindow="-120" yWindow="-120" windowWidth="38640" windowHeight="21120" xr2:uid="{00000000-000D-0000-FFFF-FFFF00000000}"/>
  </bookViews>
  <sheets>
    <sheet name="CronogramaDeProjeto" sheetId="1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1" l="1"/>
  <c r="E9" i="11"/>
  <c r="H7" i="11"/>
  <c r="I5" i="11" l="1"/>
  <c r="H38" i="11"/>
  <c r="H37" i="11"/>
  <c r="H36" i="11"/>
  <c r="H35" i="11"/>
  <c r="H33" i="11"/>
  <c r="H31" i="11"/>
  <c r="H25" i="11"/>
  <c r="H17" i="11"/>
  <c r="H8" i="11"/>
  <c r="I6" i="11" l="1"/>
  <c r="H32" i="11" l="1"/>
  <c r="J5" i="11"/>
  <c r="K5" i="11" s="1"/>
  <c r="L5" i="11" s="1"/>
  <c r="M5" i="11" s="1"/>
  <c r="N5" i="11" s="1"/>
  <c r="O5" i="11" s="1"/>
  <c r="P5" i="11" s="1"/>
  <c r="I4" i="11"/>
  <c r="P4" i="11" l="1"/>
  <c r="Q5" i="11"/>
  <c r="R5" i="11" s="1"/>
  <c r="S5" i="11" s="1"/>
  <c r="T5" i="11" s="1"/>
  <c r="U5" i="11" s="1"/>
  <c r="V5" i="11" s="1"/>
  <c r="W5" i="11" s="1"/>
  <c r="J6" i="11"/>
  <c r="W4" i="11" l="1"/>
  <c r="X5" i="11"/>
  <c r="Y5" i="11" s="1"/>
  <c r="Z5" i="11" s="1"/>
  <c r="AA5" i="11" s="1"/>
  <c r="AB5" i="11" s="1"/>
  <c r="AC5" i="11" s="1"/>
  <c r="AD5" i="11" s="1"/>
  <c r="K6" i="11"/>
  <c r="AE5" i="11" l="1"/>
  <c r="AF5" i="11" s="1"/>
  <c r="AG5" i="11" s="1"/>
  <c r="AH5" i="11" s="1"/>
  <c r="AI5" i="11" s="1"/>
  <c r="AJ5" i="11" s="1"/>
  <c r="AD4" i="11"/>
  <c r="L6" i="11"/>
  <c r="AK5" i="11" l="1"/>
  <c r="AL5" i="11" s="1"/>
  <c r="AM5" i="11" s="1"/>
  <c r="AN5" i="11" s="1"/>
  <c r="AO5" i="11" s="1"/>
  <c r="AP5" i="11" s="1"/>
  <c r="AQ5" i="11" s="1"/>
  <c r="M6" i="11"/>
  <c r="AR5" i="11" l="1"/>
  <c r="AS5" i="11" s="1"/>
  <c r="AK4" i="11"/>
  <c r="N6" i="11"/>
  <c r="AT5" i="11" l="1"/>
  <c r="AS6" i="11"/>
  <c r="AR4" i="11"/>
  <c r="O6" i="11"/>
  <c r="AU5" i="11" l="1"/>
  <c r="AT6" i="11"/>
  <c r="AV5" i="11" l="1"/>
  <c r="AU6" i="11"/>
  <c r="P6" i="11"/>
  <c r="Q6" i="11"/>
  <c r="AW5" i="11" l="1"/>
  <c r="AV6" i="11"/>
  <c r="R6" i="11"/>
  <c r="AX5" i="11" l="1"/>
  <c r="AY5" i="11" s="1"/>
  <c r="AW6" i="11"/>
  <c r="S6" i="11"/>
  <c r="AY6" i="11" l="1"/>
  <c r="AZ5" i="11"/>
  <c r="AY4" i="11"/>
  <c r="AX6" i="11"/>
  <c r="T6" i="11"/>
  <c r="BA5" i="11" l="1"/>
  <c r="AZ6" i="11"/>
  <c r="U6" i="11"/>
  <c r="BA6" i="11" l="1"/>
  <c r="BB5" i="11"/>
  <c r="V6" i="11"/>
  <c r="BB6" i="11" l="1"/>
  <c r="BC5" i="11"/>
  <c r="W6" i="11"/>
  <c r="BC6" i="11" l="1"/>
  <c r="BD5" i="11"/>
  <c r="X6" i="11"/>
  <c r="BE5" i="11" l="1"/>
  <c r="BD6" i="11"/>
  <c r="Y6" i="11"/>
  <c r="BE6" i="11" l="1"/>
  <c r="BF5" i="11"/>
  <c r="BF4" i="11" s="1"/>
  <c r="Z6" i="11"/>
  <c r="BF6" i="11" l="1"/>
  <c r="BG5" i="11"/>
  <c r="AA6" i="11"/>
  <c r="BG6" i="11" l="1"/>
  <c r="BH5" i="11"/>
  <c r="AB6" i="11"/>
  <c r="BI5" i="11" l="1"/>
  <c r="BH6" i="11"/>
  <c r="AC6" i="11"/>
  <c r="BJ5" i="11" l="1"/>
  <c r="BI6" i="11"/>
  <c r="AD6" i="11"/>
  <c r="BK5" i="11" l="1"/>
  <c r="BJ6" i="11"/>
  <c r="AE6" i="11"/>
  <c r="BL5" i="11" l="1"/>
  <c r="BM5" i="11" s="1"/>
  <c r="BK6" i="11"/>
  <c r="AF6" i="11"/>
  <c r="BN5" i="11" l="1"/>
  <c r="BM4" i="11"/>
  <c r="BM6" i="11"/>
  <c r="BL6" i="11"/>
  <c r="AG6" i="11"/>
  <c r="BO5" i="11" l="1"/>
  <c r="BN6" i="11"/>
  <c r="AH6" i="11"/>
  <c r="BP5" i="11" l="1"/>
  <c r="BO6" i="11"/>
  <c r="AI6" i="11"/>
  <c r="BQ5" i="11" l="1"/>
  <c r="BP6" i="11"/>
  <c r="AJ6" i="11"/>
  <c r="BR5" i="11" l="1"/>
  <c r="BQ6" i="11"/>
  <c r="AK6" i="11"/>
  <c r="BR6" i="11" l="1"/>
  <c r="BS5" i="11"/>
  <c r="AL6" i="11"/>
  <c r="BS6" i="11" l="1"/>
  <c r="BT5" i="11"/>
  <c r="AM6" i="11"/>
  <c r="BU5" i="11" l="1"/>
  <c r="BT6" i="11"/>
  <c r="BT4" i="11"/>
  <c r="AN6" i="11"/>
  <c r="BV5" i="11" l="1"/>
  <c r="BU6" i="11"/>
  <c r="AO6" i="11"/>
  <c r="BW5" i="11" l="1"/>
  <c r="BV6" i="11"/>
  <c r="AP6" i="11"/>
  <c r="BX5" i="11" l="1"/>
  <c r="BW6" i="11"/>
  <c r="AQ6" i="11"/>
  <c r="BY5" i="11" l="1"/>
  <c r="BX6" i="11"/>
  <c r="AR6" i="11"/>
  <c r="H9" i="11"/>
  <c r="BZ5" i="11" l="1"/>
  <c r="BY6" i="11"/>
  <c r="H18" i="11"/>
  <c r="H26" i="11"/>
  <c r="H27" i="11"/>
  <c r="H16" i="11"/>
  <c r="BZ6" i="11" l="1"/>
  <c r="CA5" i="11"/>
  <c r="H10" i="11"/>
  <c r="H28" i="11"/>
  <c r="H11" i="11"/>
  <c r="CB5" i="11" l="1"/>
  <c r="CA4" i="11"/>
  <c r="CA6" i="11"/>
  <c r="H30" i="11"/>
  <c r="H29" i="11"/>
  <c r="H20" i="11"/>
  <c r="H19" i="11"/>
  <c r="CC5" i="11" l="1"/>
  <c r="CB6" i="11"/>
  <c r="H22" i="11"/>
  <c r="CD5" i="11" l="1"/>
  <c r="CC6" i="11"/>
  <c r="H24" i="11"/>
  <c r="CD6" i="11" l="1"/>
  <c r="CE5" i="11"/>
  <c r="CE6" i="11" l="1"/>
  <c r="CF5" i="11"/>
  <c r="CG5" i="11" l="1"/>
  <c r="CF6" i="11"/>
  <c r="CG6" i="11" l="1"/>
  <c r="CH5" i="11"/>
  <c r="CI5" i="11" l="1"/>
  <c r="CH4" i="11"/>
  <c r="CH6" i="11"/>
  <c r="CJ5" i="11" l="1"/>
  <c r="CI6" i="11"/>
  <c r="CK5" i="11" l="1"/>
  <c r="CJ6" i="11"/>
  <c r="CL5" i="11" l="1"/>
  <c r="CK6" i="11"/>
  <c r="CM5" i="11" l="1"/>
  <c r="CL6" i="11"/>
  <c r="CM6" i="11" l="1"/>
  <c r="CN5" i="11"/>
  <c r="CN6" i="11" l="1"/>
  <c r="CO5" i="11"/>
  <c r="CP5" i="11" l="1"/>
  <c r="CO6" i="11"/>
  <c r="CO4" i="11"/>
  <c r="CQ5" i="11" l="1"/>
  <c r="CP6" i="11"/>
  <c r="CR5" i="11" l="1"/>
  <c r="CQ6" i="11"/>
  <c r="CS5" i="11" l="1"/>
  <c r="CR6" i="11"/>
  <c r="CT5" i="11" l="1"/>
  <c r="CS6" i="11"/>
  <c r="CT6" i="11" l="1"/>
  <c r="CU5" i="11"/>
  <c r="CU6" i="11" l="1"/>
  <c r="CV5" i="11"/>
  <c r="CW5" i="11" l="1"/>
  <c r="CV6" i="11"/>
  <c r="CV4" i="11"/>
  <c r="CX5" i="11" l="1"/>
  <c r="CW6" i="11"/>
  <c r="CY5" i="11" l="1"/>
  <c r="CX6" i="11"/>
  <c r="CZ5" i="11" l="1"/>
  <c r="CY6" i="11"/>
  <c r="CZ6" i="11" l="1"/>
  <c r="DA5" i="11"/>
  <c r="DA6" i="11" l="1"/>
  <c r="DB5" i="11"/>
  <c r="DB6" i="11" l="1"/>
  <c r="DC5" i="11"/>
  <c r="DD5" i="11" l="1"/>
  <c r="DC6" i="11"/>
  <c r="DC4" i="11"/>
  <c r="DE5" i="11" l="1"/>
  <c r="DD6" i="11"/>
  <c r="DF5" i="11" l="1"/>
  <c r="DE6" i="11"/>
  <c r="DG5" i="11" l="1"/>
  <c r="DF6" i="11"/>
  <c r="DG6" i="11" l="1"/>
  <c r="DH5" i="11"/>
  <c r="DH6" i="11" l="1"/>
  <c r="DI5" i="11"/>
  <c r="DI6" i="11" s="1"/>
</calcChain>
</file>

<file path=xl/sharedStrings.xml><?xml version="1.0" encoding="utf-8"?>
<sst xmlns="http://schemas.openxmlformats.org/spreadsheetml/2006/main" count="65" uniqueCount="48">
  <si>
    <t>Início do projeto:</t>
  </si>
  <si>
    <t>Semana de exibição:</t>
  </si>
  <si>
    <t>TAREFA</t>
  </si>
  <si>
    <t>ATRIBUÍDO
PARA</t>
  </si>
  <si>
    <t>PROGRESSO</t>
  </si>
  <si>
    <t>INÍCIO</t>
  </si>
  <si>
    <t>TÉRMINO</t>
  </si>
  <si>
    <t>DIAS</t>
  </si>
  <si>
    <t>Insira novas linhas ACIMA desta</t>
  </si>
  <si>
    <t>Mackenzie</t>
  </si>
  <si>
    <t>Criar cronograma do projeto</t>
  </si>
  <si>
    <t>Buscar dataset</t>
  </si>
  <si>
    <t>Geral</t>
  </si>
  <si>
    <t>Jaqueline</t>
  </si>
  <si>
    <t>Apresentação (metadados)</t>
  </si>
  <si>
    <t>Criar diretório no GitHub</t>
  </si>
  <si>
    <t>Lucas</t>
  </si>
  <si>
    <t>Etapa 1</t>
  </si>
  <si>
    <t>Etapa 2</t>
  </si>
  <si>
    <t>Etapa 3</t>
  </si>
  <si>
    <t>Etapa 4</t>
  </si>
  <si>
    <t>-</t>
  </si>
  <si>
    <t>Entregar PDF Etapa 3</t>
  </si>
  <si>
    <t>Definição do grupo de trabalho</t>
  </si>
  <si>
    <t>Entregável Etapa 1</t>
  </si>
  <si>
    <t>Igor</t>
  </si>
  <si>
    <t>Kayo</t>
  </si>
  <si>
    <t>Detalhamento da organização</t>
  </si>
  <si>
    <t>Detalhamento da área de atuação</t>
  </si>
  <si>
    <t>Definição das bibliotecas</t>
  </si>
  <si>
    <t>Análise exploratória da base</t>
  </si>
  <si>
    <t>Tratamento da base de dados (preparação)</t>
  </si>
  <si>
    <t>Tratamento da base de dados (treinamento)</t>
  </si>
  <si>
    <t>Detalhamento das bases teóricas dos métodos</t>
  </si>
  <si>
    <t>Detalhamento do cálculo de acurácia</t>
  </si>
  <si>
    <t>Entregável Etapa 2</t>
  </si>
  <si>
    <t>Consolidação do método analítico</t>
  </si>
  <si>
    <t>Aplicação das medidas de acurácia</t>
  </si>
  <si>
    <t>Descrição dos resultados preliminares</t>
  </si>
  <si>
    <t>Esboço do Storytelling</t>
  </si>
  <si>
    <t>Relatório técnico do projeto</t>
  </si>
  <si>
    <t>Apresentação do Storytelling</t>
  </si>
  <si>
    <t>Revisão do repositório no GitHub</t>
  </si>
  <si>
    <t>Entregável Etapa 4</t>
  </si>
  <si>
    <t>Edição e publicação do vídeo</t>
  </si>
  <si>
    <t>Igor/Lucas</t>
  </si>
  <si>
    <t>Igor/Kayo</t>
  </si>
  <si>
    <t>Igor/Jaqueline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</si>
</sst>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d/m/yy;@"/>
    <numFmt numFmtId="167" formatCode="ddd\,\ dd/mm/yyyy"/>
    <numFmt numFmtId="168" formatCode="d\-mmm\-yyyy"/>
    <numFmt numFmtId="169" formatCode="d"/>
  </numFmts>
  <fonts count="32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 tint="0.34998626667073579"/>
      <name val="Calibri"/>
      <family val="2"/>
      <scheme val="major"/>
    </font>
    <font>
      <b/>
      <sz val="14"/>
      <color theme="4" tint="-0.249977111117893"/>
      <name val="Calibri"/>
      <family val="2"/>
      <scheme val="maj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4"/>
      <color theme="1" tint="0.499984740745262"/>
      <name val="Arial"/>
      <family val="2"/>
    </font>
    <font>
      <sz val="14"/>
      <color rgb="FFFF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6" fillId="0" borderId="0"/>
    <xf numFmtId="165" fontId="3" fillId="0" borderId="3" applyFont="0" applyFill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Protection="0">
      <alignment horizontal="right" indent="1"/>
    </xf>
    <xf numFmtId="167" fontId="3" fillId="0" borderId="3">
      <alignment horizontal="center" vertical="center"/>
    </xf>
    <xf numFmtId="166" fontId="3" fillId="0" borderId="2" applyFill="0">
      <alignment horizontal="center" vertical="center"/>
    </xf>
    <xf numFmtId="0" fontId="3" fillId="0" borderId="2" applyFill="0">
      <alignment horizontal="center" vertical="center"/>
    </xf>
    <xf numFmtId="0" fontId="3" fillId="0" borderId="2" applyFill="0">
      <alignment horizontal="left" vertical="center" indent="2"/>
    </xf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11" applyNumberFormat="0" applyAlignment="0" applyProtection="0"/>
    <xf numFmtId="0" fontId="13" fillId="18" borderId="12" applyNumberFormat="0" applyAlignment="0" applyProtection="0"/>
    <xf numFmtId="0" fontId="14" fillId="18" borderId="11" applyNumberFormat="0" applyAlignment="0" applyProtection="0"/>
    <xf numFmtId="0" fontId="15" fillId="0" borderId="13" applyNumberFormat="0" applyFill="0" applyAlignment="0" applyProtection="0"/>
    <xf numFmtId="0" fontId="16" fillId="19" borderId="14" applyNumberFormat="0" applyAlignment="0" applyProtection="0"/>
    <xf numFmtId="0" fontId="17" fillId="0" borderId="0" applyNumberFormat="0" applyFill="0" applyBorder="0" applyAlignment="0" applyProtection="0"/>
    <xf numFmtId="0" fontId="3" fillId="20" borderId="15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6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6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6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6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</cellStyleXfs>
  <cellXfs count="86">
    <xf numFmtId="0" fontId="0" fillId="0" borderId="0" xfId="0"/>
    <xf numFmtId="0" fontId="19" fillId="45" borderId="0" xfId="6" applyFont="1" applyFill="1" applyAlignment="1">
      <alignment horizontal="center" vertical="center" wrapText="1"/>
    </xf>
    <xf numFmtId="0" fontId="21" fillId="0" borderId="0" xfId="5" applyFont="1" applyAlignment="1">
      <alignment horizontal="left" wrapText="1"/>
    </xf>
    <xf numFmtId="0" fontId="22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4" fillId="0" borderId="0" xfId="0" applyFont="1"/>
    <xf numFmtId="0" fontId="24" fillId="0" borderId="0" xfId="0" applyFont="1"/>
    <xf numFmtId="0" fontId="20" fillId="0" borderId="0" xfId="3" applyFont="1"/>
    <xf numFmtId="0" fontId="4" fillId="0" borderId="0" xfId="0" applyFont="1" applyAlignment="1">
      <alignment horizontal="center"/>
    </xf>
    <xf numFmtId="0" fontId="25" fillId="0" borderId="0" xfId="1" applyFont="1" applyProtection="1">
      <alignment vertical="top"/>
    </xf>
    <xf numFmtId="0" fontId="26" fillId="0" borderId="0" xfId="7" applyFont="1" applyAlignment="1">
      <alignment vertical="top" wrapText="1"/>
    </xf>
    <xf numFmtId="0" fontId="4" fillId="0" borderId="0" xfId="8" applyFont="1">
      <alignment horizontal="right" indent="1"/>
    </xf>
    <xf numFmtId="0" fontId="4" fillId="0" borderId="7" xfId="8" applyFont="1" applyBorder="1">
      <alignment horizontal="right" indent="1"/>
    </xf>
    <xf numFmtId="167" fontId="4" fillId="0" borderId="3" xfId="9" applyFont="1">
      <alignment horizontal="center" vertical="center"/>
    </xf>
    <xf numFmtId="0" fontId="4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/>
    </xf>
    <xf numFmtId="168" fontId="4" fillId="7" borderId="4" xfId="0" applyNumberFormat="1" applyFont="1" applyFill="1" applyBorder="1" applyAlignment="1">
      <alignment horizontal="left" vertical="center" wrapText="1" indent="1"/>
    </xf>
    <xf numFmtId="168" fontId="4" fillId="7" borderId="1" xfId="0" applyNumberFormat="1" applyFont="1" applyFill="1" applyBorder="1" applyAlignment="1">
      <alignment horizontal="left" vertical="center" wrapText="1" indent="1"/>
    </xf>
    <xf numFmtId="168" fontId="4" fillId="7" borderId="5" xfId="0" applyNumberFormat="1" applyFont="1" applyFill="1" applyBorder="1" applyAlignment="1">
      <alignment horizontal="left" vertical="center" wrapText="1" indent="1"/>
    </xf>
    <xf numFmtId="0" fontId="4" fillId="0" borderId="10" xfId="0" applyFont="1" applyBorder="1" applyAlignment="1">
      <alignment wrapText="1"/>
    </xf>
    <xf numFmtId="0" fontId="4" fillId="0" borderId="10" xfId="0" applyFont="1" applyBorder="1"/>
    <xf numFmtId="169" fontId="23" fillId="7" borderId="6" xfId="0" applyNumberFormat="1" applyFont="1" applyFill="1" applyBorder="1" applyAlignment="1">
      <alignment horizontal="center" vertical="center"/>
    </xf>
    <xf numFmtId="169" fontId="23" fillId="7" borderId="0" xfId="0" applyNumberFormat="1" applyFont="1" applyFill="1" applyAlignment="1">
      <alignment horizontal="center" vertical="center"/>
    </xf>
    <xf numFmtId="169" fontId="23" fillId="7" borderId="7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vertical="center"/>
    </xf>
    <xf numFmtId="0" fontId="26" fillId="8" borderId="2" xfId="0" applyFont="1" applyFill="1" applyBorder="1" applyAlignment="1">
      <alignment horizontal="left" vertical="center" wrapText="1"/>
    </xf>
    <xf numFmtId="0" fontId="4" fillId="8" borderId="2" xfId="11" applyFont="1" applyFill="1">
      <alignment horizontal="center" vertical="center"/>
    </xf>
    <xf numFmtId="9" fontId="23" fillId="8" borderId="2" xfId="2" applyFont="1" applyFill="1" applyBorder="1" applyAlignment="1">
      <alignment horizontal="center" vertical="center"/>
    </xf>
    <xf numFmtId="166" fontId="4" fillId="8" borderId="2" xfId="0" applyNumberFormat="1" applyFont="1" applyFill="1" applyBorder="1" applyAlignment="1">
      <alignment horizontal="center" vertical="center"/>
    </xf>
    <xf numFmtId="166" fontId="23" fillId="8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2" xfId="12" applyFont="1" applyFill="1" applyAlignment="1">
      <alignment horizontal="left" vertical="center" wrapText="1"/>
    </xf>
    <xf numFmtId="0" fontId="4" fillId="3" borderId="2" xfId="11" applyFont="1" applyFill="1">
      <alignment horizontal="center" vertical="center"/>
    </xf>
    <xf numFmtId="9" fontId="23" fillId="3" borderId="2" xfId="2" applyFont="1" applyFill="1" applyBorder="1" applyAlignment="1">
      <alignment horizontal="center" vertical="center"/>
    </xf>
    <xf numFmtId="166" fontId="4" fillId="3" borderId="2" xfId="10" applyFont="1" applyFill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26" fillId="9" borderId="2" xfId="0" applyFont="1" applyFill="1" applyBorder="1" applyAlignment="1">
      <alignment horizontal="left" vertical="center" wrapText="1"/>
    </xf>
    <xf numFmtId="0" fontId="4" fillId="9" borderId="2" xfId="11" applyFont="1" applyFill="1">
      <alignment horizontal="center" vertical="center"/>
    </xf>
    <xf numFmtId="9" fontId="23" fillId="9" borderId="2" xfId="2" applyFont="1" applyFill="1" applyBorder="1" applyAlignment="1">
      <alignment horizontal="center" vertical="center"/>
    </xf>
    <xf numFmtId="166" fontId="4" fillId="9" borderId="2" xfId="0" applyNumberFormat="1" applyFont="1" applyFill="1" applyBorder="1" applyAlignment="1">
      <alignment horizontal="center" vertical="center"/>
    </xf>
    <xf numFmtId="166" fontId="23" fillId="9" borderId="2" xfId="0" applyNumberFormat="1" applyFont="1" applyFill="1" applyBorder="1" applyAlignment="1">
      <alignment horizontal="center" vertical="center"/>
    </xf>
    <xf numFmtId="0" fontId="4" fillId="4" borderId="2" xfId="12" applyFont="1" applyFill="1" applyAlignment="1">
      <alignment horizontal="left" vertical="center" wrapText="1"/>
    </xf>
    <xf numFmtId="0" fontId="4" fillId="4" borderId="2" xfId="11" quotePrefix="1" applyFont="1" applyFill="1">
      <alignment horizontal="center" vertical="center"/>
    </xf>
    <xf numFmtId="9" fontId="23" fillId="4" borderId="2" xfId="2" applyFont="1" applyFill="1" applyBorder="1" applyAlignment="1">
      <alignment horizontal="center" vertical="center"/>
    </xf>
    <xf numFmtId="166" fontId="4" fillId="4" borderId="2" xfId="10" applyFont="1" applyFill="1">
      <alignment horizontal="center" vertical="center"/>
    </xf>
    <xf numFmtId="0" fontId="26" fillId="6" borderId="2" xfId="0" applyFont="1" applyFill="1" applyBorder="1" applyAlignment="1">
      <alignment horizontal="left" vertical="center" wrapText="1"/>
    </xf>
    <xf numFmtId="0" fontId="4" fillId="6" borderId="2" xfId="11" applyFont="1" applyFill="1">
      <alignment horizontal="center" vertical="center"/>
    </xf>
    <xf numFmtId="9" fontId="23" fillId="6" borderId="2" xfId="2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166" fontId="23" fillId="6" borderId="2" xfId="0" applyNumberFormat="1" applyFont="1" applyFill="1" applyBorder="1" applyAlignment="1">
      <alignment horizontal="center" vertical="center"/>
    </xf>
    <xf numFmtId="0" fontId="4" fillId="11" borderId="2" xfId="12" applyFont="1" applyFill="1" applyAlignment="1">
      <alignment horizontal="left" vertical="center" wrapText="1"/>
    </xf>
    <xf numFmtId="0" fontId="4" fillId="11" borderId="2" xfId="11" quotePrefix="1" applyFont="1" applyFill="1">
      <alignment horizontal="center" vertical="center"/>
    </xf>
    <xf numFmtId="9" fontId="23" fillId="11" borderId="2" xfId="2" applyFont="1" applyFill="1" applyBorder="1" applyAlignment="1">
      <alignment horizontal="center" vertical="center"/>
    </xf>
    <xf numFmtId="166" fontId="4" fillId="11" borderId="2" xfId="10" applyFont="1" applyFill="1">
      <alignment horizontal="center" vertical="center"/>
    </xf>
    <xf numFmtId="0" fontId="26" fillId="5" borderId="2" xfId="0" applyFont="1" applyFill="1" applyBorder="1" applyAlignment="1">
      <alignment horizontal="left" vertical="center" wrapText="1"/>
    </xf>
    <xf numFmtId="0" fontId="4" fillId="5" borderId="2" xfId="11" quotePrefix="1" applyFont="1" applyFill="1">
      <alignment horizontal="center" vertical="center"/>
    </xf>
    <xf numFmtId="9" fontId="23" fillId="5" borderId="2" xfId="2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6" fontId="23" fillId="5" borderId="2" xfId="0" applyNumberFormat="1" applyFont="1" applyFill="1" applyBorder="1" applyAlignment="1">
      <alignment horizontal="center" vertical="center"/>
    </xf>
    <xf numFmtId="0" fontId="4" fillId="10" borderId="2" xfId="12" applyFont="1" applyFill="1" applyAlignment="1">
      <alignment horizontal="left" vertical="center" wrapText="1"/>
    </xf>
    <xf numFmtId="0" fontId="4" fillId="10" borderId="2" xfId="11" quotePrefix="1" applyFont="1" applyFill="1">
      <alignment horizontal="center" vertical="center"/>
    </xf>
    <xf numFmtId="9" fontId="23" fillId="10" borderId="2" xfId="2" applyFont="1" applyFill="1" applyBorder="1" applyAlignment="1">
      <alignment horizontal="center" vertical="center"/>
    </xf>
    <xf numFmtId="166" fontId="4" fillId="10" borderId="2" xfId="10" applyFont="1" applyFill="1">
      <alignment horizontal="center" vertical="center"/>
    </xf>
    <xf numFmtId="0" fontId="4" fillId="0" borderId="2" xfId="12" applyFont="1" applyAlignment="1">
      <alignment horizontal="left" vertical="center" wrapText="1"/>
    </xf>
    <xf numFmtId="0" fontId="4" fillId="0" borderId="2" xfId="11" applyFont="1">
      <alignment horizontal="center" vertical="center"/>
    </xf>
    <xf numFmtId="9" fontId="23" fillId="0" borderId="2" xfId="2" applyFont="1" applyBorder="1" applyAlignment="1">
      <alignment horizontal="center" vertical="center"/>
    </xf>
    <xf numFmtId="166" fontId="4" fillId="0" borderId="2" xfId="10" applyFont="1">
      <alignment horizontal="center" vertical="center"/>
    </xf>
    <xf numFmtId="0" fontId="27" fillId="2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/>
    </xf>
    <xf numFmtId="9" fontId="23" fillId="2" borderId="2" xfId="2" applyFont="1" applyFill="1" applyBorder="1" applyAlignment="1">
      <alignment horizontal="center" vertical="center"/>
    </xf>
    <xf numFmtId="166" fontId="28" fillId="2" borderId="2" xfId="0" applyNumberFormat="1" applyFont="1" applyFill="1" applyBorder="1" applyAlignment="1">
      <alignment horizontal="left" vertical="center"/>
    </xf>
    <xf numFmtId="166" fontId="23" fillId="2" borderId="2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9" fillId="0" borderId="0" xfId="0" applyFont="1"/>
    <xf numFmtId="0" fontId="20" fillId="0" borderId="0" xfId="0" applyFont="1" applyAlignment="1">
      <alignment horizontal="center"/>
    </xf>
    <xf numFmtId="0" fontId="30" fillId="0" borderId="0" xfId="1" applyFont="1" applyAlignment="1" applyProtection="1"/>
    <xf numFmtId="0" fontId="31" fillId="0" borderId="0" xfId="3" applyFont="1" applyAlignment="1">
      <alignment wrapText="1"/>
    </xf>
    <xf numFmtId="0" fontId="31" fillId="0" borderId="0" xfId="3" applyFont="1"/>
  </cellXfs>
  <cellStyles count="54">
    <cellStyle name="20% - Cor1" xfId="31" builtinId="30" customBuiltin="1"/>
    <cellStyle name="20% - Cor2" xfId="35" builtinId="34" customBuiltin="1"/>
    <cellStyle name="20% - Cor3" xfId="39" builtinId="38" customBuiltin="1"/>
    <cellStyle name="20% - Cor4" xfId="43" builtinId="42" customBuiltin="1"/>
    <cellStyle name="20% - Cor5" xfId="47" builtinId="46" customBuiltin="1"/>
    <cellStyle name="20% - Cor6" xfId="51" builtinId="50" customBuiltin="1"/>
    <cellStyle name="40% - Cor1" xfId="32" builtinId="31" customBuiltin="1"/>
    <cellStyle name="40% - Cor2" xfId="36" builtinId="35" customBuiltin="1"/>
    <cellStyle name="40% - Cor3" xfId="40" builtinId="39" customBuiltin="1"/>
    <cellStyle name="40% - Cor4" xfId="44" builtinId="43" customBuiltin="1"/>
    <cellStyle name="40% - Cor5" xfId="48" builtinId="47" customBuiltin="1"/>
    <cellStyle name="40% - Cor6" xfId="52" builtinId="51" customBuiltin="1"/>
    <cellStyle name="60% - Cor1" xfId="33" builtinId="32" customBuiltin="1"/>
    <cellStyle name="60% - Cor2" xfId="37" builtinId="36" customBuiltin="1"/>
    <cellStyle name="60% - Cor3" xfId="41" builtinId="40" customBuiltin="1"/>
    <cellStyle name="60% - Cor4" xfId="45" builtinId="44" customBuiltin="1"/>
    <cellStyle name="60% - Cor5" xfId="49" builtinId="48" customBuiltin="1"/>
    <cellStyle name="60% - Cor6" xfId="53" builtinId="52" customBuiltin="1"/>
    <cellStyle name="Cabeçalho 1" xfId="6" builtinId="16" customBuiltin="1"/>
    <cellStyle name="Cabeçalho 2" xfId="7" builtinId="17" customBuiltin="1"/>
    <cellStyle name="Cabeçalho 3" xfId="8" builtinId="18" customBuiltin="1"/>
    <cellStyle name="Cabeçalho 4" xfId="17" builtinId="19" customBuiltin="1"/>
    <cellStyle name="Cálculo" xfId="23" builtinId="22" customBuiltin="1"/>
    <cellStyle name="Célula Ligada" xfId="24" builtinId="24" customBuiltin="1"/>
    <cellStyle name="Cor1" xfId="30" builtinId="29" customBuiltin="1"/>
    <cellStyle name="Cor2" xfId="34" builtinId="33" customBuiltin="1"/>
    <cellStyle name="Cor3" xfId="38" builtinId="37" customBuiltin="1"/>
    <cellStyle name="Cor4" xfId="42" builtinId="41" customBuiltin="1"/>
    <cellStyle name="Cor5" xfId="46" builtinId="45" customBuiltin="1"/>
    <cellStyle name="Cor6" xfId="50" builtinId="49" customBuiltin="1"/>
    <cellStyle name="Correto" xfId="18" builtinId="26" customBuiltin="1"/>
    <cellStyle name="Data" xfId="10" xr:uid="{229918B6-DD13-4F5A-97B9-305F7E002AA3}"/>
    <cellStyle name="Entrada" xfId="21" builtinId="20" customBuiltin="1"/>
    <cellStyle name="Hiperligação" xfId="1" builtinId="8" customBuiltin="1"/>
    <cellStyle name="Hiperligação Visitada" xfId="13" builtinId="9" customBuiltin="1"/>
    <cellStyle name="Incorreto" xfId="19" builtinId="27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ercentagem" xfId="2" builtinId="5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otal" xfId="29" builtinId="25" customBuiltin="1"/>
    <cellStyle name="Verificar Célula" xfId="25" builtinId="23" customBuiltin="1"/>
    <cellStyle name="Vírgula" xfId="4" builtinId="3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I41"/>
  <sheetViews>
    <sheetView showGridLines="0" tabSelected="1" showRuler="0" zoomScale="70" zoomScaleNormal="70" zoomScalePageLayoutView="70" workbookViewId="0">
      <pane ySplit="6" topLeftCell="A8" activePane="bottomLeft" state="frozen"/>
      <selection pane="bottomLeft" activeCell="D9" sqref="D9"/>
    </sheetView>
  </sheetViews>
  <sheetFormatPr defaultRowHeight="30" customHeight="1" x14ac:dyDescent="0.3"/>
  <cols>
    <col min="1" max="1" width="4.42578125" style="9" customWidth="1"/>
    <col min="2" max="2" width="55.28515625" style="16" bestFit="1" customWidth="1"/>
    <col min="3" max="3" width="17.7109375" style="7" bestFit="1" customWidth="1"/>
    <col min="4" max="4" width="15.28515625" style="7" bestFit="1" customWidth="1"/>
    <col min="5" max="5" width="12" style="10" bestFit="1" customWidth="1"/>
    <col min="6" max="6" width="12.28515625" style="7" bestFit="1" customWidth="1"/>
    <col min="7" max="7" width="2.7109375" style="7" customWidth="1"/>
    <col min="8" max="8" width="6.7109375" style="7" bestFit="1" customWidth="1"/>
    <col min="9" max="30" width="4.28515625" style="7" bestFit="1" customWidth="1"/>
    <col min="31" max="39" width="2.85546875" style="7" bestFit="1" customWidth="1"/>
    <col min="40" max="60" width="4.28515625" style="7" bestFit="1" customWidth="1"/>
    <col min="61" max="69" width="2.85546875" style="7" bestFit="1" customWidth="1"/>
    <col min="70" max="91" width="4.28515625" style="7" bestFit="1" customWidth="1"/>
    <col min="92" max="100" width="2.85546875" style="7" bestFit="1" customWidth="1"/>
    <col min="101" max="113" width="4.28515625" style="7" bestFit="1" customWidth="1"/>
    <col min="114" max="16384" width="9.140625" style="7"/>
  </cols>
  <sheetData>
    <row r="1" spans="1:113" ht="14.45" customHeight="1" x14ac:dyDescent="0.3">
      <c r="A1" s="84"/>
      <c r="B1" s="2"/>
      <c r="C1" s="3"/>
      <c r="D1" s="4"/>
      <c r="E1" s="5"/>
      <c r="F1" s="6"/>
      <c r="H1" s="4"/>
      <c r="I1" s="8"/>
    </row>
    <row r="2" spans="1:113" ht="22.15" customHeight="1" x14ac:dyDescent="0.3">
      <c r="A2" s="85"/>
      <c r="B2" s="1" t="s">
        <v>9</v>
      </c>
      <c r="I2" s="11"/>
    </row>
    <row r="3" spans="1:113" ht="25.15" customHeight="1" x14ac:dyDescent="0.3">
      <c r="A3" s="85"/>
      <c r="B3" s="12"/>
      <c r="C3" s="13" t="s">
        <v>0</v>
      </c>
      <c r="D3" s="14"/>
      <c r="E3" s="15">
        <v>46244</v>
      </c>
      <c r="F3" s="15"/>
    </row>
    <row r="4" spans="1:113" ht="17.45" customHeight="1" x14ac:dyDescent="0.3">
      <c r="A4" s="84"/>
      <c r="C4" s="13" t="s">
        <v>1</v>
      </c>
      <c r="D4" s="14"/>
      <c r="E4" s="17">
        <v>1</v>
      </c>
      <c r="I4" s="18">
        <f>I5</f>
        <v>46244</v>
      </c>
      <c r="J4" s="19"/>
      <c r="K4" s="19"/>
      <c r="L4" s="19"/>
      <c r="M4" s="19"/>
      <c r="N4" s="19"/>
      <c r="O4" s="20"/>
      <c r="P4" s="18">
        <f>P5</f>
        <v>46251</v>
      </c>
      <c r="Q4" s="19"/>
      <c r="R4" s="19"/>
      <c r="S4" s="19"/>
      <c r="T4" s="19"/>
      <c r="U4" s="19"/>
      <c r="V4" s="20"/>
      <c r="W4" s="18">
        <f>W5</f>
        <v>46258</v>
      </c>
      <c r="X4" s="19"/>
      <c r="Y4" s="19"/>
      <c r="Z4" s="19"/>
      <c r="AA4" s="19"/>
      <c r="AB4" s="19"/>
      <c r="AC4" s="20"/>
      <c r="AD4" s="18">
        <f>AD5</f>
        <v>46265</v>
      </c>
      <c r="AE4" s="19"/>
      <c r="AF4" s="19"/>
      <c r="AG4" s="19"/>
      <c r="AH4" s="19"/>
      <c r="AI4" s="19"/>
      <c r="AJ4" s="20"/>
      <c r="AK4" s="18">
        <f>AK5</f>
        <v>46272</v>
      </c>
      <c r="AL4" s="19"/>
      <c r="AM4" s="19"/>
      <c r="AN4" s="19"/>
      <c r="AO4" s="19"/>
      <c r="AP4" s="19"/>
      <c r="AQ4" s="20"/>
      <c r="AR4" s="18">
        <f>AR5</f>
        <v>46279</v>
      </c>
      <c r="AS4" s="19"/>
      <c r="AT4" s="19"/>
      <c r="AU4" s="19"/>
      <c r="AV4" s="19"/>
      <c r="AW4" s="19"/>
      <c r="AX4" s="20"/>
      <c r="AY4" s="18">
        <f>AY5</f>
        <v>46286</v>
      </c>
      <c r="AZ4" s="19"/>
      <c r="BA4" s="19"/>
      <c r="BB4" s="19"/>
      <c r="BC4" s="19"/>
      <c r="BD4" s="19"/>
      <c r="BE4" s="20"/>
      <c r="BF4" s="18">
        <f>BF5</f>
        <v>46293</v>
      </c>
      <c r="BG4" s="19"/>
      <c r="BH4" s="19"/>
      <c r="BI4" s="19"/>
      <c r="BJ4" s="19"/>
      <c r="BK4" s="19"/>
      <c r="BL4" s="20"/>
      <c r="BM4" s="18">
        <f>BM5</f>
        <v>46300</v>
      </c>
      <c r="BN4" s="19"/>
      <c r="BO4" s="19"/>
      <c r="BP4" s="19"/>
      <c r="BQ4" s="19"/>
      <c r="BR4" s="19"/>
      <c r="BS4" s="20"/>
      <c r="BT4" s="18">
        <f>BT5</f>
        <v>46307</v>
      </c>
      <c r="BU4" s="19"/>
      <c r="BV4" s="19"/>
      <c r="BW4" s="19"/>
      <c r="BX4" s="19"/>
      <c r="BY4" s="19"/>
      <c r="BZ4" s="20"/>
      <c r="CA4" s="18">
        <f>CA5</f>
        <v>46314</v>
      </c>
      <c r="CB4" s="19"/>
      <c r="CC4" s="19"/>
      <c r="CD4" s="19"/>
      <c r="CE4" s="19"/>
      <c r="CF4" s="19"/>
      <c r="CG4" s="20"/>
      <c r="CH4" s="18">
        <f>CH5</f>
        <v>46321</v>
      </c>
      <c r="CI4" s="19"/>
      <c r="CJ4" s="19"/>
      <c r="CK4" s="19"/>
      <c r="CL4" s="19"/>
      <c r="CM4" s="19"/>
      <c r="CN4" s="20"/>
      <c r="CO4" s="18">
        <f>CO5</f>
        <v>46328</v>
      </c>
      <c r="CP4" s="19"/>
      <c r="CQ4" s="19"/>
      <c r="CR4" s="19"/>
      <c r="CS4" s="19"/>
      <c r="CT4" s="19"/>
      <c r="CU4" s="20"/>
      <c r="CV4" s="18">
        <f>CV5</f>
        <v>46335</v>
      </c>
      <c r="CW4" s="19"/>
      <c r="CX4" s="19"/>
      <c r="CY4" s="19"/>
      <c r="CZ4" s="19"/>
      <c r="DA4" s="19"/>
      <c r="DB4" s="20"/>
      <c r="DC4" s="18">
        <f>DC5</f>
        <v>46342</v>
      </c>
      <c r="DD4" s="19"/>
      <c r="DE4" s="19"/>
      <c r="DF4" s="19"/>
      <c r="DG4" s="19"/>
      <c r="DH4" s="19"/>
      <c r="DI4" s="20"/>
    </row>
    <row r="5" spans="1:113" ht="15" customHeight="1" x14ac:dyDescent="0.3">
      <c r="A5" s="84"/>
      <c r="B5" s="21"/>
      <c r="C5" s="22"/>
      <c r="D5" s="22"/>
      <c r="E5" s="22"/>
      <c r="F5" s="22"/>
      <c r="G5" s="22"/>
      <c r="I5" s="23">
        <f>Início_do_projeto-WEEKDAY(Início_do_projeto,1)+2+7*(Semana_de_exibição-1)</f>
        <v>46244</v>
      </c>
      <c r="J5" s="24">
        <f>I5+1</f>
        <v>46245</v>
      </c>
      <c r="K5" s="24">
        <f t="shared" ref="K5:AX5" si="0">J5+1</f>
        <v>46246</v>
      </c>
      <c r="L5" s="24">
        <f t="shared" si="0"/>
        <v>46247</v>
      </c>
      <c r="M5" s="24">
        <f t="shared" si="0"/>
        <v>46248</v>
      </c>
      <c r="N5" s="24">
        <f t="shared" si="0"/>
        <v>46249</v>
      </c>
      <c r="O5" s="25">
        <f t="shared" si="0"/>
        <v>46250</v>
      </c>
      <c r="P5" s="23">
        <f>O5+1</f>
        <v>46251</v>
      </c>
      <c r="Q5" s="24">
        <f>P5+1</f>
        <v>46252</v>
      </c>
      <c r="R5" s="24">
        <f t="shared" si="0"/>
        <v>46253</v>
      </c>
      <c r="S5" s="24">
        <f t="shared" si="0"/>
        <v>46254</v>
      </c>
      <c r="T5" s="24">
        <f t="shared" si="0"/>
        <v>46255</v>
      </c>
      <c r="U5" s="24">
        <f t="shared" si="0"/>
        <v>46256</v>
      </c>
      <c r="V5" s="25">
        <f t="shared" si="0"/>
        <v>46257</v>
      </c>
      <c r="W5" s="23">
        <f>V5+1</f>
        <v>46258</v>
      </c>
      <c r="X5" s="24">
        <f>W5+1</f>
        <v>46259</v>
      </c>
      <c r="Y5" s="24">
        <f t="shared" si="0"/>
        <v>46260</v>
      </c>
      <c r="Z5" s="24">
        <f t="shared" si="0"/>
        <v>46261</v>
      </c>
      <c r="AA5" s="24">
        <f t="shared" si="0"/>
        <v>46262</v>
      </c>
      <c r="AB5" s="24">
        <f t="shared" si="0"/>
        <v>46263</v>
      </c>
      <c r="AC5" s="25">
        <f t="shared" si="0"/>
        <v>46264</v>
      </c>
      <c r="AD5" s="23">
        <f>AC5+1</f>
        <v>46265</v>
      </c>
      <c r="AE5" s="24">
        <f>AD5+1</f>
        <v>46266</v>
      </c>
      <c r="AF5" s="24">
        <f t="shared" si="0"/>
        <v>46267</v>
      </c>
      <c r="AG5" s="24">
        <f t="shared" si="0"/>
        <v>46268</v>
      </c>
      <c r="AH5" s="24">
        <f t="shared" si="0"/>
        <v>46269</v>
      </c>
      <c r="AI5" s="24">
        <f t="shared" si="0"/>
        <v>46270</v>
      </c>
      <c r="AJ5" s="25">
        <f t="shared" si="0"/>
        <v>46271</v>
      </c>
      <c r="AK5" s="23">
        <f>AJ5+1</f>
        <v>46272</v>
      </c>
      <c r="AL5" s="24">
        <f>AK5+1</f>
        <v>46273</v>
      </c>
      <c r="AM5" s="24">
        <f t="shared" si="0"/>
        <v>46274</v>
      </c>
      <c r="AN5" s="24">
        <f t="shared" si="0"/>
        <v>46275</v>
      </c>
      <c r="AO5" s="24">
        <f t="shared" si="0"/>
        <v>46276</v>
      </c>
      <c r="AP5" s="24">
        <f t="shared" si="0"/>
        <v>46277</v>
      </c>
      <c r="AQ5" s="25">
        <f t="shared" si="0"/>
        <v>46278</v>
      </c>
      <c r="AR5" s="23">
        <f>AQ5+1</f>
        <v>46279</v>
      </c>
      <c r="AS5" s="24">
        <f>AR5+1</f>
        <v>46280</v>
      </c>
      <c r="AT5" s="24">
        <f t="shared" si="0"/>
        <v>46281</v>
      </c>
      <c r="AU5" s="24">
        <f t="shared" si="0"/>
        <v>46282</v>
      </c>
      <c r="AV5" s="24">
        <f t="shared" si="0"/>
        <v>46283</v>
      </c>
      <c r="AW5" s="24">
        <f t="shared" si="0"/>
        <v>46284</v>
      </c>
      <c r="AX5" s="25">
        <f t="shared" si="0"/>
        <v>46285</v>
      </c>
      <c r="AY5" s="23">
        <f>AX5+1</f>
        <v>46286</v>
      </c>
      <c r="AZ5" s="24">
        <f>AY5+1</f>
        <v>46287</v>
      </c>
      <c r="BA5" s="24">
        <f t="shared" ref="BA5:BE5" si="1">AZ5+1</f>
        <v>46288</v>
      </c>
      <c r="BB5" s="24">
        <f t="shared" si="1"/>
        <v>46289</v>
      </c>
      <c r="BC5" s="24">
        <f t="shared" si="1"/>
        <v>46290</v>
      </c>
      <c r="BD5" s="24">
        <f t="shared" si="1"/>
        <v>46291</v>
      </c>
      <c r="BE5" s="25">
        <f t="shared" si="1"/>
        <v>46292</v>
      </c>
      <c r="BF5" s="23">
        <f>BE5+1</f>
        <v>46293</v>
      </c>
      <c r="BG5" s="24">
        <f>BF5+1</f>
        <v>46294</v>
      </c>
      <c r="BH5" s="24">
        <f t="shared" ref="BH5:BL5" si="2">BG5+1</f>
        <v>46295</v>
      </c>
      <c r="BI5" s="24">
        <f t="shared" si="2"/>
        <v>46296</v>
      </c>
      <c r="BJ5" s="24">
        <f t="shared" si="2"/>
        <v>46297</v>
      </c>
      <c r="BK5" s="24">
        <f t="shared" si="2"/>
        <v>46298</v>
      </c>
      <c r="BL5" s="25">
        <f t="shared" si="2"/>
        <v>46299</v>
      </c>
      <c r="BM5" s="23">
        <f>BL5+1</f>
        <v>46300</v>
      </c>
      <c r="BN5" s="24">
        <f>BM5+1</f>
        <v>46301</v>
      </c>
      <c r="BO5" s="24">
        <f t="shared" ref="BO5" si="3">BN5+1</f>
        <v>46302</v>
      </c>
      <c r="BP5" s="24">
        <f t="shared" ref="BP5" si="4">BO5+1</f>
        <v>46303</v>
      </c>
      <c r="BQ5" s="24">
        <f t="shared" ref="BQ5" si="5">BP5+1</f>
        <v>46304</v>
      </c>
      <c r="BR5" s="24">
        <f t="shared" ref="BR5" si="6">BQ5+1</f>
        <v>46305</v>
      </c>
      <c r="BS5" s="25">
        <f t="shared" ref="BS5" si="7">BR5+1</f>
        <v>46306</v>
      </c>
      <c r="BT5" s="23">
        <f>BS5+1</f>
        <v>46307</v>
      </c>
      <c r="BU5" s="24">
        <f>BT5+1</f>
        <v>46308</v>
      </c>
      <c r="BV5" s="24">
        <f t="shared" ref="BV5" si="8">BU5+1</f>
        <v>46309</v>
      </c>
      <c r="BW5" s="24">
        <f t="shared" ref="BW5" si="9">BV5+1</f>
        <v>46310</v>
      </c>
      <c r="BX5" s="24">
        <f t="shared" ref="BX5" si="10">BW5+1</f>
        <v>46311</v>
      </c>
      <c r="BY5" s="24">
        <f t="shared" ref="BY5" si="11">BX5+1</f>
        <v>46312</v>
      </c>
      <c r="BZ5" s="25">
        <f t="shared" ref="BZ5" si="12">BY5+1</f>
        <v>46313</v>
      </c>
      <c r="CA5" s="23">
        <f>BZ5+1</f>
        <v>46314</v>
      </c>
      <c r="CB5" s="24">
        <f>CA5+1</f>
        <v>46315</v>
      </c>
      <c r="CC5" s="24">
        <f t="shared" ref="CC5" si="13">CB5+1</f>
        <v>46316</v>
      </c>
      <c r="CD5" s="24">
        <f t="shared" ref="CD5" si="14">CC5+1</f>
        <v>46317</v>
      </c>
      <c r="CE5" s="24">
        <f t="shared" ref="CE5" si="15">CD5+1</f>
        <v>46318</v>
      </c>
      <c r="CF5" s="24">
        <f t="shared" ref="CF5" si="16">CE5+1</f>
        <v>46319</v>
      </c>
      <c r="CG5" s="25">
        <f t="shared" ref="CG5" si="17">CF5+1</f>
        <v>46320</v>
      </c>
      <c r="CH5" s="23">
        <f>CG5+1</f>
        <v>46321</v>
      </c>
      <c r="CI5" s="24">
        <f>CH5+1</f>
        <v>46322</v>
      </c>
      <c r="CJ5" s="24">
        <f t="shared" ref="CJ5" si="18">CI5+1</f>
        <v>46323</v>
      </c>
      <c r="CK5" s="24">
        <f t="shared" ref="CK5" si="19">CJ5+1</f>
        <v>46324</v>
      </c>
      <c r="CL5" s="24">
        <f t="shared" ref="CL5" si="20">CK5+1</f>
        <v>46325</v>
      </c>
      <c r="CM5" s="24">
        <f t="shared" ref="CM5" si="21">CL5+1</f>
        <v>46326</v>
      </c>
      <c r="CN5" s="25">
        <f t="shared" ref="CN5" si="22">CM5+1</f>
        <v>46327</v>
      </c>
      <c r="CO5" s="23">
        <f>CN5+1</f>
        <v>46328</v>
      </c>
      <c r="CP5" s="24">
        <f>CO5+1</f>
        <v>46329</v>
      </c>
      <c r="CQ5" s="24">
        <f t="shared" ref="CQ5" si="23">CP5+1</f>
        <v>46330</v>
      </c>
      <c r="CR5" s="24">
        <f t="shared" ref="CR5" si="24">CQ5+1</f>
        <v>46331</v>
      </c>
      <c r="CS5" s="24">
        <f t="shared" ref="CS5" si="25">CR5+1</f>
        <v>46332</v>
      </c>
      <c r="CT5" s="24">
        <f t="shared" ref="CT5" si="26">CS5+1</f>
        <v>46333</v>
      </c>
      <c r="CU5" s="25">
        <f>CT5+1</f>
        <v>46334</v>
      </c>
      <c r="CV5" s="23">
        <f>CU5+1</f>
        <v>46335</v>
      </c>
      <c r="CW5" s="24">
        <f>CV5+1</f>
        <v>46336</v>
      </c>
      <c r="CX5" s="24">
        <f t="shared" ref="CX5" si="27">CW5+1</f>
        <v>46337</v>
      </c>
      <c r="CY5" s="24">
        <f t="shared" ref="CY5" si="28">CX5+1</f>
        <v>46338</v>
      </c>
      <c r="CZ5" s="24">
        <f t="shared" ref="CZ5" si="29">CY5+1</f>
        <v>46339</v>
      </c>
      <c r="DA5" s="24">
        <f t="shared" ref="DA5" si="30">CZ5+1</f>
        <v>46340</v>
      </c>
      <c r="DB5" s="25">
        <f>DA5+1</f>
        <v>46341</v>
      </c>
      <c r="DC5" s="23">
        <f>DB5+1</f>
        <v>46342</v>
      </c>
      <c r="DD5" s="24">
        <f>DC5+1</f>
        <v>46343</v>
      </c>
      <c r="DE5" s="24">
        <f t="shared" ref="DE5" si="31">DD5+1</f>
        <v>46344</v>
      </c>
      <c r="DF5" s="24">
        <f t="shared" ref="DF5" si="32">DE5+1</f>
        <v>46345</v>
      </c>
      <c r="DG5" s="24">
        <f t="shared" ref="DG5" si="33">DF5+1</f>
        <v>46346</v>
      </c>
      <c r="DH5" s="24">
        <f t="shared" ref="DH5" si="34">DG5+1</f>
        <v>46347</v>
      </c>
      <c r="DI5" s="25">
        <f>DH5+1</f>
        <v>46348</v>
      </c>
    </row>
    <row r="6" spans="1:113" ht="30" customHeight="1" thickBot="1" x14ac:dyDescent="0.35">
      <c r="A6" s="84"/>
      <c r="B6" s="26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/>
      <c r="H6" s="27" t="s">
        <v>7</v>
      </c>
      <c r="I6" s="28" t="str">
        <f t="shared" ref="I6" si="35">LEFT(TEXT(I5,"ddd"),1)</f>
        <v>s</v>
      </c>
      <c r="J6" s="28" t="str">
        <f t="shared" ref="J6:AR6" si="36">LEFT(TEXT(J5,"ddd"),1)</f>
        <v>t</v>
      </c>
      <c r="K6" s="28" t="str">
        <f t="shared" si="36"/>
        <v>q</v>
      </c>
      <c r="L6" s="28" t="str">
        <f t="shared" si="36"/>
        <v>q</v>
      </c>
      <c r="M6" s="28" t="str">
        <f t="shared" si="36"/>
        <v>s</v>
      </c>
      <c r="N6" s="28" t="str">
        <f t="shared" si="36"/>
        <v>s</v>
      </c>
      <c r="O6" s="28" t="str">
        <f t="shared" si="36"/>
        <v>d</v>
      </c>
      <c r="P6" s="28" t="str">
        <f t="shared" si="36"/>
        <v>s</v>
      </c>
      <c r="Q6" s="28" t="str">
        <f t="shared" si="36"/>
        <v>t</v>
      </c>
      <c r="R6" s="28" t="str">
        <f t="shared" si="36"/>
        <v>q</v>
      </c>
      <c r="S6" s="28" t="str">
        <f t="shared" si="36"/>
        <v>q</v>
      </c>
      <c r="T6" s="28" t="str">
        <f t="shared" si="36"/>
        <v>s</v>
      </c>
      <c r="U6" s="28" t="str">
        <f t="shared" si="36"/>
        <v>s</v>
      </c>
      <c r="V6" s="28" t="str">
        <f t="shared" si="36"/>
        <v>d</v>
      </c>
      <c r="W6" s="28" t="str">
        <f t="shared" si="36"/>
        <v>s</v>
      </c>
      <c r="X6" s="28" t="str">
        <f t="shared" si="36"/>
        <v>t</v>
      </c>
      <c r="Y6" s="28" t="str">
        <f t="shared" si="36"/>
        <v>q</v>
      </c>
      <c r="Z6" s="28" t="str">
        <f t="shared" si="36"/>
        <v>q</v>
      </c>
      <c r="AA6" s="28" t="str">
        <f t="shared" si="36"/>
        <v>s</v>
      </c>
      <c r="AB6" s="28" t="str">
        <f t="shared" si="36"/>
        <v>s</v>
      </c>
      <c r="AC6" s="28" t="str">
        <f t="shared" si="36"/>
        <v>d</v>
      </c>
      <c r="AD6" s="28" t="str">
        <f t="shared" si="36"/>
        <v>s</v>
      </c>
      <c r="AE6" s="28" t="str">
        <f t="shared" si="36"/>
        <v>t</v>
      </c>
      <c r="AF6" s="28" t="str">
        <f t="shared" si="36"/>
        <v>q</v>
      </c>
      <c r="AG6" s="28" t="str">
        <f t="shared" si="36"/>
        <v>q</v>
      </c>
      <c r="AH6" s="28" t="str">
        <f t="shared" si="36"/>
        <v>s</v>
      </c>
      <c r="AI6" s="28" t="str">
        <f t="shared" si="36"/>
        <v>s</v>
      </c>
      <c r="AJ6" s="28" t="str">
        <f t="shared" si="36"/>
        <v>d</v>
      </c>
      <c r="AK6" s="28" t="str">
        <f t="shared" si="36"/>
        <v>s</v>
      </c>
      <c r="AL6" s="28" t="str">
        <f t="shared" si="36"/>
        <v>t</v>
      </c>
      <c r="AM6" s="28" t="str">
        <f t="shared" si="36"/>
        <v>q</v>
      </c>
      <c r="AN6" s="28" t="str">
        <f t="shared" si="36"/>
        <v>q</v>
      </c>
      <c r="AO6" s="28" t="str">
        <f t="shared" si="36"/>
        <v>s</v>
      </c>
      <c r="AP6" s="28" t="str">
        <f t="shared" si="36"/>
        <v>s</v>
      </c>
      <c r="AQ6" s="28" t="str">
        <f t="shared" si="36"/>
        <v>d</v>
      </c>
      <c r="AR6" s="28" t="str">
        <f t="shared" si="36"/>
        <v>s</v>
      </c>
      <c r="AS6" s="28" t="str">
        <f t="shared" ref="AS6:BL6" si="37">LEFT(TEXT(AS5,"ddd"),1)</f>
        <v>t</v>
      </c>
      <c r="AT6" s="28" t="str">
        <f t="shared" si="37"/>
        <v>q</v>
      </c>
      <c r="AU6" s="28" t="str">
        <f t="shared" si="37"/>
        <v>q</v>
      </c>
      <c r="AV6" s="28" t="str">
        <f t="shared" si="37"/>
        <v>s</v>
      </c>
      <c r="AW6" s="28" t="str">
        <f t="shared" si="37"/>
        <v>s</v>
      </c>
      <c r="AX6" s="28" t="str">
        <f t="shared" si="37"/>
        <v>d</v>
      </c>
      <c r="AY6" s="28" t="str">
        <f t="shared" si="37"/>
        <v>s</v>
      </c>
      <c r="AZ6" s="28" t="str">
        <f t="shared" si="37"/>
        <v>t</v>
      </c>
      <c r="BA6" s="28" t="str">
        <f t="shared" si="37"/>
        <v>q</v>
      </c>
      <c r="BB6" s="28" t="str">
        <f t="shared" si="37"/>
        <v>q</v>
      </c>
      <c r="BC6" s="28" t="str">
        <f t="shared" si="37"/>
        <v>s</v>
      </c>
      <c r="BD6" s="28" t="str">
        <f t="shared" si="37"/>
        <v>s</v>
      </c>
      <c r="BE6" s="28" t="str">
        <f t="shared" si="37"/>
        <v>d</v>
      </c>
      <c r="BF6" s="28" t="str">
        <f t="shared" si="37"/>
        <v>s</v>
      </c>
      <c r="BG6" s="28" t="str">
        <f t="shared" si="37"/>
        <v>t</v>
      </c>
      <c r="BH6" s="28" t="str">
        <f t="shared" si="37"/>
        <v>q</v>
      </c>
      <c r="BI6" s="28" t="str">
        <f t="shared" si="37"/>
        <v>q</v>
      </c>
      <c r="BJ6" s="28" t="str">
        <f t="shared" si="37"/>
        <v>s</v>
      </c>
      <c r="BK6" s="28" t="str">
        <f t="shared" si="37"/>
        <v>s</v>
      </c>
      <c r="BL6" s="28" t="str">
        <f t="shared" si="37"/>
        <v>d</v>
      </c>
      <c r="BM6" s="28" t="str">
        <f t="shared" ref="BM6:BZ6" si="38">LEFT(TEXT(BM5,"ddd"),1)</f>
        <v>s</v>
      </c>
      <c r="BN6" s="28" t="str">
        <f t="shared" si="38"/>
        <v>t</v>
      </c>
      <c r="BO6" s="28" t="str">
        <f t="shared" si="38"/>
        <v>q</v>
      </c>
      <c r="BP6" s="28" t="str">
        <f t="shared" si="38"/>
        <v>q</v>
      </c>
      <c r="BQ6" s="28" t="str">
        <f t="shared" si="38"/>
        <v>s</v>
      </c>
      <c r="BR6" s="28" t="str">
        <f t="shared" si="38"/>
        <v>s</v>
      </c>
      <c r="BS6" s="28" t="str">
        <f t="shared" si="38"/>
        <v>d</v>
      </c>
      <c r="BT6" s="28" t="str">
        <f t="shared" si="38"/>
        <v>s</v>
      </c>
      <c r="BU6" s="28" t="str">
        <f t="shared" si="38"/>
        <v>t</v>
      </c>
      <c r="BV6" s="28" t="str">
        <f t="shared" si="38"/>
        <v>q</v>
      </c>
      <c r="BW6" s="28" t="str">
        <f t="shared" si="38"/>
        <v>q</v>
      </c>
      <c r="BX6" s="28" t="str">
        <f t="shared" si="38"/>
        <v>s</v>
      </c>
      <c r="BY6" s="28" t="str">
        <f t="shared" si="38"/>
        <v>s</v>
      </c>
      <c r="BZ6" s="28" t="str">
        <f t="shared" si="38"/>
        <v>d</v>
      </c>
      <c r="CA6" s="28" t="str">
        <f t="shared" ref="CA6:CU6" si="39">LEFT(TEXT(CA5,"ddd"),1)</f>
        <v>s</v>
      </c>
      <c r="CB6" s="28" t="str">
        <f t="shared" si="39"/>
        <v>t</v>
      </c>
      <c r="CC6" s="28" t="str">
        <f t="shared" si="39"/>
        <v>q</v>
      </c>
      <c r="CD6" s="28" t="str">
        <f t="shared" si="39"/>
        <v>q</v>
      </c>
      <c r="CE6" s="28" t="str">
        <f t="shared" si="39"/>
        <v>s</v>
      </c>
      <c r="CF6" s="28" t="str">
        <f t="shared" si="39"/>
        <v>s</v>
      </c>
      <c r="CG6" s="28" t="str">
        <f t="shared" si="39"/>
        <v>d</v>
      </c>
      <c r="CH6" s="28" t="str">
        <f t="shared" si="39"/>
        <v>s</v>
      </c>
      <c r="CI6" s="28" t="str">
        <f t="shared" si="39"/>
        <v>t</v>
      </c>
      <c r="CJ6" s="28" t="str">
        <f t="shared" si="39"/>
        <v>q</v>
      </c>
      <c r="CK6" s="28" t="str">
        <f t="shared" si="39"/>
        <v>q</v>
      </c>
      <c r="CL6" s="28" t="str">
        <f t="shared" si="39"/>
        <v>s</v>
      </c>
      <c r="CM6" s="28" t="str">
        <f t="shared" si="39"/>
        <v>s</v>
      </c>
      <c r="CN6" s="28" t="str">
        <f t="shared" si="39"/>
        <v>d</v>
      </c>
      <c r="CO6" s="28" t="str">
        <f t="shared" si="39"/>
        <v>s</v>
      </c>
      <c r="CP6" s="28" t="str">
        <f t="shared" si="39"/>
        <v>t</v>
      </c>
      <c r="CQ6" s="28" t="str">
        <f t="shared" si="39"/>
        <v>q</v>
      </c>
      <c r="CR6" s="28" t="str">
        <f t="shared" si="39"/>
        <v>q</v>
      </c>
      <c r="CS6" s="28" t="str">
        <f t="shared" si="39"/>
        <v>s</v>
      </c>
      <c r="CT6" s="28" t="str">
        <f t="shared" si="39"/>
        <v>s</v>
      </c>
      <c r="CU6" s="28" t="str">
        <f t="shared" si="39"/>
        <v>d</v>
      </c>
      <c r="CV6" s="28" t="str">
        <f t="shared" ref="CV6:DB6" si="40">LEFT(TEXT(CV5,"ddd"),1)</f>
        <v>s</v>
      </c>
      <c r="CW6" s="28" t="str">
        <f t="shared" si="40"/>
        <v>t</v>
      </c>
      <c r="CX6" s="28" t="str">
        <f t="shared" si="40"/>
        <v>q</v>
      </c>
      <c r="CY6" s="28" t="str">
        <f t="shared" si="40"/>
        <v>q</v>
      </c>
      <c r="CZ6" s="28" t="str">
        <f t="shared" si="40"/>
        <v>s</v>
      </c>
      <c r="DA6" s="28" t="str">
        <f t="shared" si="40"/>
        <v>s</v>
      </c>
      <c r="DB6" s="28" t="str">
        <f t="shared" si="40"/>
        <v>d</v>
      </c>
      <c r="DC6" s="28" t="str">
        <f t="shared" ref="DC6:DI6" si="41">LEFT(TEXT(DC5,"ddd"),1)</f>
        <v>s</v>
      </c>
      <c r="DD6" s="28" t="str">
        <f t="shared" si="41"/>
        <v>t</v>
      </c>
      <c r="DE6" s="28" t="str">
        <f t="shared" si="41"/>
        <v>q</v>
      </c>
      <c r="DF6" s="28" t="str">
        <f t="shared" si="41"/>
        <v>q</v>
      </c>
      <c r="DG6" s="28" t="str">
        <f t="shared" si="41"/>
        <v>s</v>
      </c>
      <c r="DH6" s="28" t="str">
        <f t="shared" si="41"/>
        <v>s</v>
      </c>
      <c r="DI6" s="28" t="str">
        <f t="shared" si="41"/>
        <v>d</v>
      </c>
    </row>
    <row r="7" spans="1:113" ht="23.45" hidden="1" customHeight="1" thickBot="1" x14ac:dyDescent="0.35">
      <c r="A7" s="85"/>
      <c r="C7" s="16"/>
      <c r="E7" s="7"/>
      <c r="H7" s="7" t="str">
        <f>IF(OR(ISBLANK(início_da_tarefa),ISBLANK(término_da_tarefa)),"",término_da_tarefa-início_da_tarefa+1)</f>
        <v/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</row>
    <row r="8" spans="1:113" s="36" customFormat="1" ht="30" customHeight="1" thickBot="1" x14ac:dyDescent="0.35">
      <c r="A8" s="84"/>
      <c r="B8" s="30" t="s">
        <v>17</v>
      </c>
      <c r="C8" s="31"/>
      <c r="D8" s="32">
        <v>1</v>
      </c>
      <c r="E8" s="33"/>
      <c r="F8" s="34"/>
      <c r="G8" s="35"/>
      <c r="H8" s="35" t="str">
        <f t="shared" ref="H8:H38" si="42">IF(OR(ISBLANK(início_da_tarefa),ISBLANK(término_da_tarefa)),"",término_da_tarefa-início_da_tarefa+1)</f>
        <v/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</row>
    <row r="9" spans="1:113" s="36" customFormat="1" ht="30" customHeight="1" thickBot="1" x14ac:dyDescent="0.35">
      <c r="A9" s="84"/>
      <c r="B9" s="37" t="s">
        <v>23</v>
      </c>
      <c r="C9" s="38" t="s">
        <v>12</v>
      </c>
      <c r="D9" s="39">
        <v>1</v>
      </c>
      <c r="E9" s="40">
        <f>Início_do_projeto</f>
        <v>46244</v>
      </c>
      <c r="F9" s="40">
        <v>46259</v>
      </c>
      <c r="G9" s="35"/>
      <c r="H9" s="35">
        <f t="shared" si="42"/>
        <v>16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</row>
    <row r="10" spans="1:113" s="36" customFormat="1" ht="30" customHeight="1" thickBot="1" x14ac:dyDescent="0.35">
      <c r="A10" s="84"/>
      <c r="B10" s="37" t="s">
        <v>11</v>
      </c>
      <c r="C10" s="38" t="s">
        <v>25</v>
      </c>
      <c r="D10" s="39">
        <v>1</v>
      </c>
      <c r="E10" s="40">
        <v>46258</v>
      </c>
      <c r="F10" s="40">
        <f>E10+1</f>
        <v>46259</v>
      </c>
      <c r="G10" s="35"/>
      <c r="H10" s="35">
        <f t="shared" si="42"/>
        <v>2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41"/>
      <c r="V10" s="41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</row>
    <row r="11" spans="1:113" s="36" customFormat="1" ht="30" customHeight="1" thickBot="1" x14ac:dyDescent="0.35">
      <c r="A11" s="85"/>
      <c r="B11" s="37" t="s">
        <v>27</v>
      </c>
      <c r="C11" s="38" t="s">
        <v>45</v>
      </c>
      <c r="D11" s="39">
        <v>0.5</v>
      </c>
      <c r="E11" s="40">
        <v>46259</v>
      </c>
      <c r="F11" s="40">
        <v>46261</v>
      </c>
      <c r="G11" s="35"/>
      <c r="H11" s="35">
        <f t="shared" si="42"/>
        <v>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</row>
    <row r="12" spans="1:113" s="36" customFormat="1" ht="30" customHeight="1" thickBot="1" x14ac:dyDescent="0.35">
      <c r="A12" s="85"/>
      <c r="B12" s="37" t="s">
        <v>28</v>
      </c>
      <c r="C12" s="38" t="s">
        <v>46</v>
      </c>
      <c r="D12" s="39">
        <v>0.5</v>
      </c>
      <c r="E12" s="40">
        <v>46259</v>
      </c>
      <c r="F12" s="40">
        <v>46261</v>
      </c>
      <c r="G12" s="35"/>
      <c r="H12" s="35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</row>
    <row r="13" spans="1:113" s="36" customFormat="1" ht="30" customHeight="1" thickBot="1" x14ac:dyDescent="0.35">
      <c r="A13" s="85"/>
      <c r="B13" s="37" t="s">
        <v>14</v>
      </c>
      <c r="C13" s="38" t="s">
        <v>47</v>
      </c>
      <c r="D13" s="39">
        <v>0.5</v>
      </c>
      <c r="E13" s="40">
        <v>46259</v>
      </c>
      <c r="F13" s="40">
        <v>46261</v>
      </c>
      <c r="G13" s="35"/>
      <c r="H13" s="35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</row>
    <row r="14" spans="1:113" s="36" customFormat="1" ht="30" customHeight="1" thickBot="1" x14ac:dyDescent="0.35">
      <c r="A14" s="85"/>
      <c r="B14" s="37" t="s">
        <v>10</v>
      </c>
      <c r="C14" s="38" t="s">
        <v>13</v>
      </c>
      <c r="D14" s="39">
        <v>1</v>
      </c>
      <c r="E14" s="40">
        <v>46259</v>
      </c>
      <c r="F14" s="40">
        <v>46260</v>
      </c>
      <c r="G14" s="35"/>
      <c r="H14" s="35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</row>
    <row r="15" spans="1:113" s="36" customFormat="1" ht="30" customHeight="1" thickBot="1" x14ac:dyDescent="0.35">
      <c r="A15" s="85"/>
      <c r="B15" s="37" t="s">
        <v>15</v>
      </c>
      <c r="C15" s="38" t="s">
        <v>16</v>
      </c>
      <c r="D15" s="39">
        <v>0</v>
      </c>
      <c r="E15" s="40">
        <v>46259</v>
      </c>
      <c r="F15" s="40">
        <v>46260</v>
      </c>
      <c r="G15" s="35"/>
      <c r="H15" s="35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</row>
    <row r="16" spans="1:113" s="36" customFormat="1" ht="30" customHeight="1" thickBot="1" x14ac:dyDescent="0.35">
      <c r="A16" s="85"/>
      <c r="B16" s="37" t="s">
        <v>24</v>
      </c>
      <c r="C16" s="38" t="s">
        <v>26</v>
      </c>
      <c r="D16" s="39">
        <v>0</v>
      </c>
      <c r="E16" s="40">
        <v>46262</v>
      </c>
      <c r="F16" s="40">
        <v>46262</v>
      </c>
      <c r="G16" s="35"/>
      <c r="H16" s="35">
        <f t="shared" si="42"/>
        <v>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</row>
    <row r="17" spans="1:113" s="36" customFormat="1" ht="30" customHeight="1" thickBot="1" x14ac:dyDescent="0.35">
      <c r="A17" s="84"/>
      <c r="B17" s="42" t="s">
        <v>18</v>
      </c>
      <c r="C17" s="43"/>
      <c r="D17" s="44"/>
      <c r="E17" s="45"/>
      <c r="F17" s="46"/>
      <c r="G17" s="35"/>
      <c r="H17" s="35" t="str">
        <f t="shared" si="42"/>
        <v/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</row>
    <row r="18" spans="1:113" s="36" customFormat="1" ht="30" customHeight="1" thickBot="1" x14ac:dyDescent="0.35">
      <c r="A18" s="84"/>
      <c r="B18" s="47" t="s">
        <v>29</v>
      </c>
      <c r="C18" s="48" t="s">
        <v>21</v>
      </c>
      <c r="D18" s="49">
        <v>0</v>
      </c>
      <c r="E18" s="50">
        <v>46263</v>
      </c>
      <c r="F18" s="50">
        <v>46267</v>
      </c>
      <c r="G18" s="35"/>
      <c r="H18" s="35">
        <f t="shared" si="42"/>
        <v>5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</row>
    <row r="19" spans="1:113" s="36" customFormat="1" ht="30" customHeight="1" thickBot="1" x14ac:dyDescent="0.35">
      <c r="A19" s="85"/>
      <c r="B19" s="47" t="s">
        <v>30</v>
      </c>
      <c r="C19" s="48" t="s">
        <v>21</v>
      </c>
      <c r="D19" s="49">
        <v>0</v>
      </c>
      <c r="E19" s="50">
        <v>46266</v>
      </c>
      <c r="F19" s="50">
        <v>46272</v>
      </c>
      <c r="G19" s="35"/>
      <c r="H19" s="35">
        <f t="shared" si="42"/>
        <v>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41"/>
      <c r="V19" s="41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</row>
    <row r="20" spans="1:113" s="36" customFormat="1" ht="30" customHeight="1" thickBot="1" x14ac:dyDescent="0.35">
      <c r="A20" s="85"/>
      <c r="B20" s="47" t="s">
        <v>31</v>
      </c>
      <c r="C20" s="48" t="s">
        <v>21</v>
      </c>
      <c r="D20" s="49">
        <v>0</v>
      </c>
      <c r="E20" s="50">
        <v>46272</v>
      </c>
      <c r="F20" s="50">
        <v>46283</v>
      </c>
      <c r="G20" s="35"/>
      <c r="H20" s="35">
        <f t="shared" si="42"/>
        <v>12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</row>
    <row r="21" spans="1:113" s="36" customFormat="1" ht="30" customHeight="1" thickBot="1" x14ac:dyDescent="0.35">
      <c r="A21" s="85"/>
      <c r="B21" s="47" t="s">
        <v>32</v>
      </c>
      <c r="C21" s="48" t="s">
        <v>21</v>
      </c>
      <c r="D21" s="49">
        <v>0</v>
      </c>
      <c r="E21" s="50">
        <v>46272</v>
      </c>
      <c r="F21" s="50">
        <v>46283</v>
      </c>
      <c r="G21" s="35"/>
      <c r="H21" s="35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</row>
    <row r="22" spans="1:113" s="36" customFormat="1" ht="30" customHeight="1" thickBot="1" x14ac:dyDescent="0.35">
      <c r="A22" s="85"/>
      <c r="B22" s="47" t="s">
        <v>33</v>
      </c>
      <c r="C22" s="48" t="s">
        <v>21</v>
      </c>
      <c r="D22" s="49">
        <v>0</v>
      </c>
      <c r="E22" s="50">
        <v>46284</v>
      </c>
      <c r="F22" s="50">
        <v>46289</v>
      </c>
      <c r="G22" s="35"/>
      <c r="H22" s="35">
        <f t="shared" si="42"/>
        <v>6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41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</row>
    <row r="23" spans="1:113" s="36" customFormat="1" ht="30" customHeight="1" thickBot="1" x14ac:dyDescent="0.35">
      <c r="A23" s="85"/>
      <c r="B23" s="47" t="s">
        <v>34</v>
      </c>
      <c r="C23" s="48" t="s">
        <v>21</v>
      </c>
      <c r="D23" s="49">
        <v>0</v>
      </c>
      <c r="E23" s="50">
        <v>46284</v>
      </c>
      <c r="F23" s="50">
        <v>46289</v>
      </c>
      <c r="G23" s="35"/>
      <c r="H23" s="35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41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</row>
    <row r="24" spans="1:113" s="36" customFormat="1" ht="30" customHeight="1" thickBot="1" x14ac:dyDescent="0.35">
      <c r="A24" s="85"/>
      <c r="B24" s="47" t="s">
        <v>35</v>
      </c>
      <c r="C24" s="48" t="s">
        <v>21</v>
      </c>
      <c r="D24" s="49">
        <v>0</v>
      </c>
      <c r="E24" s="50">
        <v>46290</v>
      </c>
      <c r="F24" s="50">
        <v>46290</v>
      </c>
      <c r="G24" s="35"/>
      <c r="H24" s="35">
        <f t="shared" si="42"/>
        <v>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</row>
    <row r="25" spans="1:113" s="36" customFormat="1" ht="30" customHeight="1" thickBot="1" x14ac:dyDescent="0.35">
      <c r="A25" s="85"/>
      <c r="B25" s="51" t="s">
        <v>19</v>
      </c>
      <c r="C25" s="52"/>
      <c r="D25" s="53"/>
      <c r="E25" s="54"/>
      <c r="F25" s="55"/>
      <c r="G25" s="35"/>
      <c r="H25" s="35" t="str">
        <f t="shared" si="42"/>
        <v/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</row>
    <row r="26" spans="1:113" s="36" customFormat="1" ht="30" customHeight="1" thickBot="1" x14ac:dyDescent="0.35">
      <c r="A26" s="85"/>
      <c r="B26" s="56" t="s">
        <v>36</v>
      </c>
      <c r="C26" s="57" t="s">
        <v>21</v>
      </c>
      <c r="D26" s="58">
        <v>0</v>
      </c>
      <c r="E26" s="59">
        <v>46291</v>
      </c>
      <c r="F26" s="59">
        <v>46305</v>
      </c>
      <c r="G26" s="35"/>
      <c r="H26" s="35">
        <f t="shared" si="42"/>
        <v>15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</row>
    <row r="27" spans="1:113" s="36" customFormat="1" ht="30" customHeight="1" thickBot="1" x14ac:dyDescent="0.35">
      <c r="A27" s="85"/>
      <c r="B27" s="56" t="s">
        <v>37</v>
      </c>
      <c r="C27" s="57" t="s">
        <v>21</v>
      </c>
      <c r="D27" s="58">
        <v>0</v>
      </c>
      <c r="E27" s="59">
        <v>46306</v>
      </c>
      <c r="F27" s="59">
        <v>46314</v>
      </c>
      <c r="G27" s="35"/>
      <c r="H27" s="35">
        <f t="shared" si="42"/>
        <v>9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</row>
    <row r="28" spans="1:113" s="36" customFormat="1" ht="30" customHeight="1" thickBot="1" x14ac:dyDescent="0.35">
      <c r="A28" s="85"/>
      <c r="B28" s="56" t="s">
        <v>38</v>
      </c>
      <c r="C28" s="57" t="s">
        <v>21</v>
      </c>
      <c r="D28" s="58">
        <v>0</v>
      </c>
      <c r="E28" s="59">
        <v>46312</v>
      </c>
      <c r="F28" s="59">
        <v>46317</v>
      </c>
      <c r="G28" s="35"/>
      <c r="H28" s="35">
        <f t="shared" si="42"/>
        <v>6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</row>
    <row r="29" spans="1:113" s="36" customFormat="1" ht="30" customHeight="1" thickBot="1" x14ac:dyDescent="0.35">
      <c r="A29" s="85"/>
      <c r="B29" s="56" t="s">
        <v>39</v>
      </c>
      <c r="C29" s="57" t="s">
        <v>21</v>
      </c>
      <c r="D29" s="58">
        <v>0</v>
      </c>
      <c r="E29" s="59">
        <v>46312</v>
      </c>
      <c r="F29" s="59">
        <v>46317</v>
      </c>
      <c r="G29" s="35"/>
      <c r="H29" s="35">
        <f t="shared" si="42"/>
        <v>6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</row>
    <row r="30" spans="1:113" s="36" customFormat="1" ht="30" customHeight="1" thickBot="1" x14ac:dyDescent="0.35">
      <c r="A30" s="85"/>
      <c r="B30" s="56" t="s">
        <v>22</v>
      </c>
      <c r="C30" s="57" t="s">
        <v>21</v>
      </c>
      <c r="D30" s="58">
        <v>0</v>
      </c>
      <c r="E30" s="59">
        <v>46318</v>
      </c>
      <c r="F30" s="59">
        <v>46318</v>
      </c>
      <c r="G30" s="35"/>
      <c r="H30" s="35">
        <f t="shared" si="42"/>
        <v>1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</row>
    <row r="31" spans="1:113" s="36" customFormat="1" ht="30" customHeight="1" thickBot="1" x14ac:dyDescent="0.35">
      <c r="A31" s="85"/>
      <c r="B31" s="60" t="s">
        <v>20</v>
      </c>
      <c r="C31" s="61" t="s">
        <v>21</v>
      </c>
      <c r="D31" s="62"/>
      <c r="E31" s="63"/>
      <c r="F31" s="64"/>
      <c r="G31" s="35"/>
      <c r="H31" s="35" t="str">
        <f t="shared" si="42"/>
        <v/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</row>
    <row r="32" spans="1:113" s="36" customFormat="1" ht="30" customHeight="1" thickBot="1" x14ac:dyDescent="0.35">
      <c r="A32" s="85"/>
      <c r="B32" s="65" t="s">
        <v>40</v>
      </c>
      <c r="C32" s="66" t="s">
        <v>21</v>
      </c>
      <c r="D32" s="67">
        <v>0</v>
      </c>
      <c r="E32" s="68">
        <v>46319</v>
      </c>
      <c r="F32" s="68">
        <v>46333</v>
      </c>
      <c r="G32" s="35"/>
      <c r="H32" s="35">
        <f t="shared" si="42"/>
        <v>15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</row>
    <row r="33" spans="1:113" s="36" customFormat="1" ht="30" customHeight="1" thickBot="1" x14ac:dyDescent="0.35">
      <c r="A33" s="85"/>
      <c r="B33" s="65" t="s">
        <v>41</v>
      </c>
      <c r="C33" s="66" t="s">
        <v>21</v>
      </c>
      <c r="D33" s="67">
        <v>0</v>
      </c>
      <c r="E33" s="68">
        <v>46328</v>
      </c>
      <c r="F33" s="68">
        <v>46340</v>
      </c>
      <c r="G33" s="35"/>
      <c r="H33" s="35">
        <f t="shared" si="42"/>
        <v>13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</row>
    <row r="34" spans="1:113" s="36" customFormat="1" ht="30" customHeight="1" thickBot="1" x14ac:dyDescent="0.35">
      <c r="A34" s="85"/>
      <c r="B34" s="65" t="s">
        <v>44</v>
      </c>
      <c r="C34" s="66" t="s">
        <v>21</v>
      </c>
      <c r="D34" s="67">
        <v>0</v>
      </c>
      <c r="E34" s="68">
        <v>46337</v>
      </c>
      <c r="F34" s="68">
        <v>46345</v>
      </c>
      <c r="G34" s="35"/>
      <c r="H34" s="35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</row>
    <row r="35" spans="1:113" s="36" customFormat="1" ht="30" customHeight="1" thickBot="1" x14ac:dyDescent="0.35">
      <c r="A35" s="85"/>
      <c r="B35" s="65" t="s">
        <v>42</v>
      </c>
      <c r="C35" s="66" t="s">
        <v>21</v>
      </c>
      <c r="D35" s="67">
        <v>0</v>
      </c>
      <c r="E35" s="68">
        <v>46344</v>
      </c>
      <c r="F35" s="68">
        <v>46345</v>
      </c>
      <c r="G35" s="35"/>
      <c r="H35" s="35">
        <f t="shared" si="42"/>
        <v>2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</row>
    <row r="36" spans="1:113" s="36" customFormat="1" ht="30" customHeight="1" thickBot="1" x14ac:dyDescent="0.35">
      <c r="A36" s="85"/>
      <c r="B36" s="65" t="s">
        <v>43</v>
      </c>
      <c r="C36" s="66" t="s">
        <v>21</v>
      </c>
      <c r="D36" s="67">
        <v>0</v>
      </c>
      <c r="E36" s="68">
        <v>46346</v>
      </c>
      <c r="F36" s="68">
        <v>46346</v>
      </c>
      <c r="G36" s="35"/>
      <c r="H36" s="35">
        <f t="shared" si="42"/>
        <v>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</row>
    <row r="37" spans="1:113" s="36" customFormat="1" ht="30" customHeight="1" thickBot="1" x14ac:dyDescent="0.35">
      <c r="A37" s="85"/>
      <c r="B37" s="69"/>
      <c r="C37" s="70"/>
      <c r="D37" s="71"/>
      <c r="E37" s="72"/>
      <c r="F37" s="72"/>
      <c r="G37" s="35"/>
      <c r="H37" s="35" t="str">
        <f t="shared" si="42"/>
        <v/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</row>
    <row r="38" spans="1:113" s="36" customFormat="1" ht="30" customHeight="1" thickBot="1" x14ac:dyDescent="0.35">
      <c r="A38" s="84"/>
      <c r="B38" s="73" t="s">
        <v>8</v>
      </c>
      <c r="C38" s="74"/>
      <c r="D38" s="75"/>
      <c r="E38" s="76"/>
      <c r="F38" s="77"/>
      <c r="G38" s="78"/>
      <c r="H38" s="78" t="str">
        <f t="shared" si="42"/>
        <v/>
      </c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</row>
    <row r="39" spans="1:113" ht="30" customHeight="1" x14ac:dyDescent="0.3">
      <c r="G39" s="80"/>
    </row>
    <row r="40" spans="1:113" ht="30" customHeight="1" x14ac:dyDescent="0.3">
      <c r="C40" s="81"/>
      <c r="F40" s="82"/>
    </row>
    <row r="41" spans="1:113" ht="30" customHeight="1" x14ac:dyDescent="0.3">
      <c r="C41" s="83"/>
    </row>
  </sheetData>
  <mergeCells count="18">
    <mergeCell ref="BT4:BZ4"/>
    <mergeCell ref="CA4:CG4"/>
    <mergeCell ref="CH4:CN4"/>
    <mergeCell ref="CO4:CU4"/>
    <mergeCell ref="CV4:DB4"/>
    <mergeCell ref="DC4:DI4"/>
    <mergeCell ref="C3:D3"/>
    <mergeCell ref="C4:D4"/>
    <mergeCell ref="AK4:AQ4"/>
    <mergeCell ref="AR4:AX4"/>
    <mergeCell ref="AY4:BE4"/>
    <mergeCell ref="BF4:BL4"/>
    <mergeCell ref="E3:F3"/>
    <mergeCell ref="I4:O4"/>
    <mergeCell ref="P4:V4"/>
    <mergeCell ref="W4:AC4"/>
    <mergeCell ref="AD4:AJ4"/>
    <mergeCell ref="BM4:BS4"/>
  </mergeCells>
  <conditionalFormatting sqref="D7:D38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DI38">
    <cfRule type="expression" dxfId="2" priority="9">
      <formula>AND(TODAY()&gt;=I$5,TODAY()&lt;J$5)</formula>
    </cfRule>
  </conditionalFormatting>
  <conditionalFormatting sqref="I7:DI38">
    <cfRule type="expression" dxfId="1" priority="7">
      <formula>AND(início_da_tarefa&lt;=I$5,ROUNDDOWN((término_da_tarefa-início_da_tarefa+1)*progresso_da_tarefa,0)+início_da_tarefa-1&gt;=I$5)</formula>
    </cfRule>
    <cfRule type="expression" dxfId="0" priority="8" stopIfTrue="1">
      <formula>AND(término_da_tarefa&gt;=I$5,início_da_tarefa&lt;J$5)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59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44944C-1F1D-4162-962A-96F3FC8455D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708DBB9E-6D89-4A94-9DC5-964B7833E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E8ED85-58B3-4608-8E91-0433556D50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2026-02-25T23:22:21Z</dcterms:created>
  <dcterms:modified xsi:type="dcterms:W3CDTF">2026-08-27T22:23:34Z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